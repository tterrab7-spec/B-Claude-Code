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Assumptions" sheetId="3" state="visible" r:id="rId5"/>
    <sheet name="Startup" sheetId="4" state="visible" r:id="rId6"/>
    <sheet name="P&amp;L 2-Bay" sheetId="5" state="visible" r:id="rId7"/>
    <sheet name="P&amp;L 3-Bay" sheetId="6" state="visible" r:id="rId8"/>
    <sheet name="P&amp;L 4-Bay" sheetId="7" state="visible" r:id="rId9"/>
    <sheet name="Membership Tiers" sheetId="8" state="visible" r:id="rId10"/>
    <sheet name="Foundation" sheetId="9" state="visible" r:id="rId11"/>
    <sheet name="Sensitivit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<sst xmlns="http://schemas.openxmlformats.org/spreadsheetml/2006/main" count="515" uniqueCount="352">
  <si>
    <t xml:space="preserve">Fairway Forward — Golf Simulator + Community Golf Academy</t>
  </si>
  <si>
    <t xml:space="preserve">Financial model v1 · Hampton Roads, VA · prepared Sept 2026 · all figures are planning estimates, not quotes</t>
  </si>
  <si>
    <t xml:space="preserve">How to use</t>
  </si>
  <si>
    <t xml:space="preserve">Edit only the BLUE cells on the Assumptions, Startup, Membership Tiers and Foundation sheets. Everything in black recalculates. Yellow-shaded cells are the levers that move the answer the most.</t>
  </si>
  <si>
    <t xml:space="preserve">Sheets</t>
  </si>
  <si>
    <t xml:space="preserve">Assumptions → Startup → P&amp;L 2-Bay / P&amp;L 3-Bay / P&amp;L 4-Bay → Summary → Membership Tiers → Foundation (education arm) → Sensitivity</t>
  </si>
  <si>
    <t xml:space="preserve">Structure</t>
  </si>
  <si>
    <t xml:space="preserve">Two entities. OpCo (for-profit LLC) runs the simulator lounge, F&amp;B, memberships. The Foundation (501(c)(3), or fiscally sponsored in year 1) runs the school and youth programs and BUYS bay time from OpCo at a contracted rate. OpCo never gives bay time away; the Foundation raises the money that pays for it.</t>
  </si>
  <si>
    <t xml:space="preserve">Why 3 sheets</t>
  </si>
  <si>
    <t xml:space="preserve">Fixed costs (GM, kitchen, ABC license, lease minimum) do not scale down with bay count. Compare 2, 3 and 4 bays on the Summary sheet before deciding. The model's opinion: 2 bays with a kitchen and ABC license does not clear debt service; 4 bays does.</t>
  </si>
  <si>
    <t xml:space="preserve">Colour code</t>
  </si>
  <si>
    <t xml:space="preserve">Blue = hardcoded input. Black = formula. Green = link to another sheet. Yellow fill = key assumption.</t>
  </si>
  <si>
    <t xml:space="preserve">Sources</t>
  </si>
  <si>
    <t xml:space="preserve">Simulator package pricing: 2025-26 commercial quotes for Foresight GCQuad/GCHawk and Trackman iO class bays incl. enclosure, projector, turf, PC and software ($40k-$75k/bay). Lease: Hampton Roads flex/retail asking rents $14-$22/sf NNN (CoStar/LoopNet 2026 listings). Utilization and F&amp;B attach rates: operator benchmarks for 3-6 bay lounges in secondary metros (25-45% of 14-hr day at maturity; F&amp;B 25-35% of revenue once a mixed-beverage license is in place). All should be re-underwritten with Timmons/site-specific bids before financing.</t>
  </si>
  <si>
    <t xml:space="preserve">Verify before relying on</t>
  </si>
  <si>
    <t xml:space="preserve">Virginia ABC food-to-alcohol ratio for a mixed beverage restaurant license (historically 45% food + non-alcoholic beverage minimum) and current license fees. SBA 7(a) rate at time of application. Local TI allowance.</t>
  </si>
  <si>
    <t xml:space="preserve">Scenario Summary — 2 vs 3 vs 4 Bays</t>
  </si>
  <si>
    <t xml:space="preserve">Same assumptions, different bay count. Read this sheet first.</t>
  </si>
  <si>
    <t xml:space="preserve">Metric</t>
  </si>
  <si>
    <t xml:space="preserve">2 Bays</t>
  </si>
  <si>
    <t xml:space="preserve">3 Bays</t>
  </si>
  <si>
    <t xml:space="preserve">4 Bays</t>
  </si>
  <si>
    <t xml:space="preserve">Read</t>
  </si>
  <si>
    <t xml:space="preserve">Total project cost</t>
  </si>
  <si>
    <t xml:space="preserve">Includes 6 months working capital and 10% contingency</t>
  </si>
  <si>
    <t xml:space="preserve">Owner equity required</t>
  </si>
  <si>
    <t xml:space="preserve">SBA loan</t>
  </si>
  <si>
    <t xml:space="preserve">Annual debt service</t>
  </si>
  <si>
    <t xml:space="preserve">Square feet</t>
  </si>
  <si>
    <t xml:space="preserve">Year 1 revenue</t>
  </si>
  <si>
    <t xml:space="preserve">Year 3 revenue (mature)</t>
  </si>
  <si>
    <t xml:space="preserve">Benchmark: $200-300k per bay in a healthy market</t>
  </si>
  <si>
    <t xml:space="preserve">Year 3 revenue per bay</t>
  </si>
  <si>
    <t xml:space="preserve">Year 1 EBITDA</t>
  </si>
  <si>
    <t xml:space="preserve">Year 3 EBITDA</t>
  </si>
  <si>
    <t xml:space="preserve">Year 3 EBITDA margin</t>
  </si>
  <si>
    <t xml:space="preserve">Well-run lounges: 25-35%</t>
  </si>
  <si>
    <t xml:space="preserve">Year 1 DSCR</t>
  </si>
  <si>
    <t xml:space="preserve">Year 2 DSCR</t>
  </si>
  <si>
    <t xml:space="preserve">Lender threshold ≈ 1.25x</t>
  </si>
  <si>
    <t xml:space="preserve">Year 3 DSCR</t>
  </si>
  <si>
    <t xml:space="preserve">Year 3 free cash flow to owners</t>
  </si>
  <si>
    <t xml:space="preserve">5-year cumulative free cash flow</t>
  </si>
  <si>
    <t xml:space="preserve">Cash-on-cash return, Year 3 (FCF / equity)</t>
  </si>
  <si>
    <t xml:space="preserve">Year 3 education hours delivered</t>
  </si>
  <si>
    <t xml:space="preserve">≈ students served × 1 hr each; 4 students per bay-hour</t>
  </si>
  <si>
    <t xml:space="preserve">Year 3 students-hours of instruction (4 per bay-hour)</t>
  </si>
  <si>
    <t xml:space="preserve">Model opinion</t>
  </si>
  <si>
    <t xml:space="preserve">• Two bays cannot carry a kitchen, an ABC license and a GM. Fixed costs are roughly the same at 2 and 4 bays; revenue is not.</t>
  </si>
  <si>
    <t xml:space="preserve">• Four bays is the minimum viable footprint for the concept as described (F&amp;B + membership + education). Three works only with a landlord TI package and a cheaper kitchen.</t>
  </si>
  <si>
    <t xml:space="preserve">• The education arm does not dilute margin because school blocks run 9am-3pm on weekdays, when bays would otherwise sit empty. It is paid for by the Foundation, not given away.</t>
  </si>
  <si>
    <t xml:space="preserve">• The biggest lever is utilization, then F&amp;B attach. Membership pre-sales de-risk Year 1 more than any other line.</t>
  </si>
  <si>
    <t xml:space="preserve">Assumptions</t>
  </si>
  <si>
    <t xml:space="preserve">Blue = edit. Yellow = key lever. Years are operating years from opening day.</t>
  </si>
  <si>
    <t xml:space="preserve">CAPACITY &amp; PRICING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</si>
  <si>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</si>
  <si>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</si>
  <si>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</si>
  <si>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</si>
  <si>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</si>
  <si>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Operating days per year</t>
  </si>
  <si>
    <t xml:space="preserve">Closed ~5 holidays</t>
  </si>
  <si>
    <t xml:space="preserve">Bookable hours per day</t>
  </si>
  <si>
    <t xml:space="preserve">9am-11pm; school blocks use 9am-3pm dead time</t>
  </si>
  <si>
    <t xml:space="preserve">Bay utilization (% of bookable hours sold, incl. members &amp; education)</t>
  </si>
  <si>
    <t xml:space="preserve">Secondary-metro lounges mature at 35-45%. Winter (Nov-Mar) runs 55%+, summer 20-25%.</t>
  </si>
  <si>
    <t xml:space="preserve">Share of used hours taken by members (not billed hourly)</t>
  </si>
  <si>
    <t xml:space="preserve">Members book on dues, not hourly; keeps peak bays full of committed golfers</t>
  </si>
  <si>
    <t xml:space="preserve">Share of used hours taken by education programs</t>
  </si>
  <si>
    <t xml:space="preserve">Foundation/school blocks, billed at the education rate below</t>
  </si>
  <si>
    <t xml:space="preserve">Blended public hourly bay rate</t>
  </si>
  <si>
    <t xml:space="preserve">$55 peak / $35 off-peak; per bay, up to 4-6 players</t>
  </si>
  <si>
    <t xml:space="preserve">Education / school-block bay rate per hour</t>
  </si>
  <si>
    <t xml:space="preserve">Paid by Foundation or school division contract; fills weekday daytime</t>
  </si>
  <si>
    <t xml:space="preserve">Annual price growth</t>
  </si>
  <si>
    <t xml:space="preserve">MEMBERSHIPS (see Membership Tiers sheet for blended dues)</t>
  </si>
  <si>
    <t xml:space="preserve">Members per bay at year end</t>
  </si>
  <si>
    <t xml:space="preserve">Ceiling ~30 per bay before members cannot get prime slots</t>
  </si>
  <si>
    <t xml:space="preserve">Blended monthly dues (from Membership Tiers)</t>
  </si>
  <si>
    <t xml:space="preserve">Formula — edit tiers on that sheet</t>
  </si>
  <si>
    <t xml:space="preserve">Founding memberships pre-sold before opening (count)</t>
  </si>
  <si>
    <t xml:space="preserve">Annual prepaid; sold during construction; used as working capital</t>
  </si>
  <si>
    <t xml:space="preserve">Founding membership price (prepaid annual)</t>
  </si>
  <si>
    <t xml:space="preserve">≈ $200/mo value for $2,400 upfront + founder perks (name on wall, locker, 2 guest passes/mo)</t>
  </si>
  <si>
    <t xml:space="preserve">LEAGUES, LESSONS, EVENTS, RETAIL, WELLNESS</t>
  </si>
  <si>
    <t xml:space="preserve">League seasons per year</t>
  </si>
  <si>
    <t xml:space="preserve">Fall, winter, spring; 8 weeks each</t>
  </si>
  <si>
    <t xml:space="preserve">Teams per season per bay</t>
  </si>
  <si>
    <t xml:space="preserve">One night/week per bay-slot</t>
  </si>
  <si>
    <t xml:space="preserve">Players per team</t>
  </si>
  <si>
    <t xml:space="preserve">League fee per player per season</t>
  </si>
  <si>
    <t xml:space="preserve">Lesson &amp; fitting gross revenue per bay per year (mature)</t>
  </si>
  <si>
    <t xml:space="preserve">PGA/LPGA pro on 50/50 split; ~6 lesson-hrs/wk/bay at $100</t>
  </si>
  <si>
    <t xml:space="preserve">Pro's share of lesson revenue</t>
  </si>
  <si>
    <t xml:space="preserve">Corporate &amp; private event revenue per bay per year (mature)</t>
  </si>
  <si>
    <t xml:space="preserve">Full buyout $350-500/hr + F&amp;B minimums; ~2 events/mo at maturity</t>
  </si>
  <si>
    <t xml:space="preserve">Retail &amp; club-fitting sales per bay per year</t>
  </si>
  <si>
    <t xml:space="preserve">Ramp to maturity for lessons/events/retail</t>
  </si>
  <si>
    <t xml:space="preserve">Wellness suites (massage / sports pedicure) — count</t>
  </si>
  <si>
    <t xml:space="preserve">Licensed LMT / nail tech on suite rent + 15% of service revenue; starts Year 2</t>
  </si>
  <si>
    <t xml:space="preserve">Suite rent + revenue share per suite per year</t>
  </si>
  <si>
    <t xml:space="preserve">$900/mo rent + ~$300/mo share</t>
  </si>
  <si>
    <t xml:space="preserve">FOOD &amp; BEVERAGE</t>
  </si>
  <si>
    <t xml:space="preserve">F&amp;B spend per used bay-hour</t>
  </si>
  <si>
    <t xml:space="preserve">Yr1 = beer/wine license; Yr2+ = mixed beverage. 4 players × $7-8/hr each</t>
  </si>
  <si>
    <t xml:space="preserve">F&amp;B spend per member per month (beyond bay-hour spend)</t>
  </si>
  <si>
    <t xml:space="preserve">F&amp;B cost of goods (%)</t>
  </si>
  <si>
    <t xml:space="preserve">Bar 22%, kitchen 32-38%; blended</t>
  </si>
  <si>
    <t xml:space="preserve">Retail cost of goods (%)</t>
  </si>
  <si>
    <t xml:space="preserve">League prizes &amp; supplies (% of league revenue)</t>
  </si>
  <si>
    <t xml:space="preserve">OCCUPANCY</t>
  </si>
  <si>
    <t xml:space="preserve">Square feet per bay (bay + seating)</t>
  </si>
  <si>
    <t xml:space="preserve">16'W × 28'D bay + lounge seating</t>
  </si>
  <si>
    <t xml:space="preserve">Common area sf (lobby, kitchen/bar, classroom, restrooms, wellness)</t>
  </si>
  <si>
    <t xml:space="preserve">Classroom ~350 sf; kitchen/bar ~500 sf</t>
  </si>
  <si>
    <t xml:space="preserve">Base rent $/sf/yr (NNN)</t>
  </si>
  <si>
    <t xml:space="preserve">Hampton Roads flex/retail 2026 asking $14-22</t>
  </si>
  <si>
    <t xml:space="preserve">NNN charges $/sf/yr</t>
  </si>
  <si>
    <t xml:space="preserve">Annual rent escalator</t>
  </si>
  <si>
    <t xml:space="preserve">Utilities $/sf/yr</t>
  </si>
  <si>
    <t xml:space="preserve">Projectors, PCs and kitchen hood push this above office norms</t>
  </si>
  <si>
    <t xml:space="preserve">PAYROLL (annual, before burden)</t>
  </si>
  <si>
    <t xml:space="preserve">General Manager</t>
  </si>
  <si>
    <t xml:space="preserve">Director of Golf &amp; Education (PGA/LPGA member)</t>
  </si>
  <si>
    <t xml:space="preserve">50% of this role is reimbursed by the Foundation — see Foundation sheet</t>
  </si>
  <si>
    <t xml:space="preserve">Foundation reimbursement of Director salary (%)</t>
  </si>
  <si>
    <t xml:space="preserve">Kitchen / bar lead</t>
  </si>
  <si>
    <t xml:space="preserve">Hourly staff hours per week per bay (front desk, bay host, bar)</t>
  </si>
  <si>
    <t xml:space="preserve">4 bays ≈ 168 hrs/wk ≈ 4.5 FTE</t>
  </si>
  <si>
    <t xml:space="preserve">Hourly staff base hours per week (fixed, regardless of bays)</t>
  </si>
  <si>
    <t xml:space="preserve">Hourly wage (avg incl. tipped roles)</t>
  </si>
  <si>
    <t xml:space="preserve">Hourly staffing ramp (staff to demand)</t>
  </si>
  <si>
    <t xml:space="preserve">Open with a lean floor crew; add bay hosts as utilization proves out</t>
  </si>
  <si>
    <t xml:space="preserve">Payroll burden (taxes, WC, benefits)</t>
  </si>
  <si>
    <t xml:space="preserve">Annual wage growth</t>
  </si>
  <si>
    <t xml:space="preserve">OTHER OPERATING COSTS</t>
  </si>
  <si>
    <t xml:space="preserve">Simulator software &amp; licensing per bay per year</t>
  </si>
  <si>
    <t xml:space="preserve">Foresight/Trackman subscription, courses, TGC/GSPro</t>
  </si>
  <si>
    <t xml:space="preserve">Booking, POS, CRM, accounting software (fixed)</t>
  </si>
  <si>
    <t xml:space="preserve">Insurance base (GL, property, liquor liability)</t>
  </si>
  <si>
    <t xml:space="preserve">Insurance per bay</t>
  </si>
  <si>
    <t xml:space="preserve">Marketing (% of revenue)</t>
  </si>
  <si>
    <t xml:space="preserve">Card processing (% of revenue)</t>
  </si>
  <si>
    <t xml:space="preserve">Repairs &amp; maintenance (% of revenue)</t>
  </si>
  <si>
    <t xml:space="preserve">Consumables, supplies, misc (% of revenue)</t>
  </si>
  <si>
    <t xml:space="preserve">Professional fees, admin, licenses (fixed)</t>
  </si>
  <si>
    <t xml:space="preserve">Bookkeeping, legal, ABC renewal, music licensing</t>
  </si>
  <si>
    <t xml:space="preserve">FINANCING &amp; TAX</t>
  </si>
  <si>
    <t xml:space="preserve">Owner equity injection (% of project cost)</t>
  </si>
  <si>
    <t xml:space="preserve">SBA 7(a) typically wants 10-20% for a start-up</t>
  </si>
  <si>
    <t xml:space="preserve">SBA 7(a) interest rate</t>
  </si>
  <si>
    <t xml:space="preserve">Prime + 2.75% cap for &gt;$350k; verify at application</t>
  </si>
  <si>
    <t xml:space="preserve">Loan term (years)</t>
  </si>
  <si>
    <t xml:space="preserve">Equipment-heavy; 10 yr blended is common. 25 yr only if real estate is included</t>
  </si>
  <si>
    <t xml:space="preserve">Depreciation life for capex (years)</t>
  </si>
  <si>
    <t xml:space="preserve">Effective income tax rate (pass-through, for cash view)</t>
  </si>
  <si>
    <t xml:space="preserve">Start-up Budget &amp; Sources / Uses</t>
  </si>
  <si>
    <t xml:space="preserve">Per-bay items scale with bay count; fixed items do not. Blue = edit.</t>
  </si>
  <si>
    <t xml:space="preserve">Line item</t>
  </si>
  <si>
    <t xml:space="preserve">Unit cost</t>
  </si>
  <si>
    <t xml:space="preserve">Notes</t>
  </si>
  <si>
    <t xml:space="preserve">Bay count</t>
  </si>
  <si>
    <t xml:space="preserve">USES</t>
  </si>
  <si>
    <t xml:space="preserve">Simulator package per bay (launch monitor, enclosure, screen, projector, turf, PC, software)</t>
  </si>
  <si>
    <t xml:space="preserve">Foresight GCQuad/GCHawk or Uneekor EYE XO2 class. Trackman iO ≈ $70k+</t>
  </si>
  <si>
    <t xml:space="preserve">Interior build-out $/sf (walls, electrical, HVAC, flooring, ceilings)</t>
  </si>
  <si>
    <t xml:space="preserve">Second-gen retail/flex space; new hood &amp; ADA restrooms drive this</t>
  </si>
  <si>
    <t xml:space="preserve">Less: landlord TI allowance $/sf</t>
  </si>
  <si>
    <t xml:space="preserve">Negotiable on a 7-10 yr lease; developer relationships help here</t>
  </si>
  <si>
    <t xml:space="preserve">Commercial kitchen (limited menu) incl. hood &amp; fire suppression</t>
  </si>
  <si>
    <t xml:space="preserve">Required to hold any VA ABC on-premises license; sized for smash burgers, wings, flatbreads</t>
  </si>
  <si>
    <t xml:space="preserve">Bar build-out &amp; draft system</t>
  </si>
  <si>
    <t xml:space="preserve">FF&amp;E per bay (seating, tables, TVs, bay controls)</t>
  </si>
  <si>
    <t xml:space="preserve">FF&amp;E common (lobby, lounge, patio)</t>
  </si>
  <si>
    <t xml:space="preserve">Classroom / education lab fit-out (screens, tablets, launch-monitor data station)</t>
  </si>
  <si>
    <t xml:space="preserve">Doubles as private event room and corporate meeting room</t>
  </si>
  <si>
    <t xml:space="preserve">Signage, exterior, AV &amp; sound</t>
  </si>
  <si>
    <t xml:space="preserve">POS, booking, access control, IT, cameras</t>
  </si>
  <si>
    <t xml:space="preserve">Architect, MEP, permits, legal, entity formation</t>
  </si>
  <si>
    <t xml:space="preserve">ABC license application, background, local fees</t>
  </si>
  <si>
    <t xml:space="preserve">Verify current VA ABC fee schedule</t>
  </si>
  <si>
    <t xml:space="preserve">Pre-opening marketing &amp; founding-member campaign</t>
  </si>
  <si>
    <t xml:space="preserve">Pre-opening payroll &amp; training (6 weeks)</t>
  </si>
  <si>
    <t xml:space="preserve">Opening inventory (F&amp;B, retail, balls, gloves)</t>
  </si>
  <si>
    <t xml:space="preserve">Subtotal before working capital &amp; contingency</t>
  </si>
  <si>
    <t xml:space="preserve">Contingency (% of subtotal)</t>
  </si>
  <si>
    <t xml:space="preserve">10% minimum on a first location</t>
  </si>
  <si>
    <t xml:space="preserve">Working capital reserve (months of Year-1 cash opex) — covers the Yr1-2 ramp</t>
  </si>
  <si>
    <t xml:space="preserve">Links to Year-1 total operating expenses on each P&amp;L sheet</t>
  </si>
  <si>
    <t xml:space="preserve">TOTAL PROJECT COST</t>
  </si>
  <si>
    <t xml:space="preserve">SOURCES</t>
  </si>
  <si>
    <t xml:space="preserve">Founding membership pre-sales (cash, deferred revenue)</t>
  </si>
  <si>
    <t xml:space="preserve">Scaled to bay count (40 founders assumes 4 bays)</t>
  </si>
  <si>
    <t xml:space="preserve">Owner equity</t>
  </si>
  <si>
    <t xml:space="preserve">SBA 7(a) loan (plug)</t>
  </si>
  <si>
    <t xml:space="preserve">Annual debt service (P&amp;I)</t>
  </si>
  <si>
    <t xml:space="preserve">Depreciable capex (hard costs before contingency)</t>
  </si>
  <si>
    <t xml:space="preserve">Total sq ft</t>
  </si>
  <si>
    <t xml:space="preserve">P&amp;L 2-Bay — 5-Year Operating Projection</t>
  </si>
  <si>
    <t xml:space="preserve">All revenue and cost lines are formulas driven by Assumptions and Startup. Bay count comes from the Startup sheet.</t>
  </si>
  <si>
    <t xml:space="preserve">Bays</t>
  </si>
  <si>
    <t xml:space="preserve">Available bay-hours / yr</t>
  </si>
  <si>
    <t xml:space="preserve">($, annual)</t>
  </si>
  <si>
    <t xml:space="preserve">Driver</t>
  </si>
  <si>
    <t xml:space="preserve">OPERATING DRIVERS</t>
  </si>
  <si>
    <t xml:space="preserve">Utilization</t>
  </si>
  <si>
    <t xml:space="preserve">Used bay-hours</t>
  </si>
  <si>
    <t xml:space="preserve">  of which: member hours</t>
  </si>
  <si>
    <t xml:space="preserve">  of which: education hours</t>
  </si>
  <si>
    <t xml:space="preserve">  of which: public paid hours</t>
  </si>
  <si>
    <t xml:space="preserve">Members (year-end)</t>
  </si>
  <si>
    <t xml:space="preserve">Average members during year</t>
  </si>
  <si>
    <t xml:space="preserve">Yr1 starts with founding members</t>
  </si>
  <si>
    <t xml:space="preserve">REVENUE</t>
  </si>
  <si>
    <t xml:space="preserve">Public bay rental</t>
  </si>
  <si>
    <t xml:space="preserve">Paid hours × blended rate</t>
  </si>
  <si>
    <t xml:space="preserve">Membership dues</t>
  </si>
  <si>
    <t xml:space="preserve">Education &amp; school-block bay time</t>
  </si>
  <si>
    <t xml:space="preserve">Paid by Foundation / school contracts</t>
  </si>
  <si>
    <t xml:space="preserve">Leagues</t>
  </si>
  <si>
    <t xml:space="preserve">Lessons &amp; club fitting (gross)</t>
  </si>
  <si>
    <t xml:space="preserve">Corporate &amp; private events</t>
  </si>
  <si>
    <t xml:space="preserve">Food &amp; beverage</t>
  </si>
  <si>
    <t xml:space="preserve">Per used hour + member spend</t>
  </si>
  <si>
    <t xml:space="preserve">Retail</t>
  </si>
  <si>
    <t xml:space="preserve">Wellness suite rent &amp; revenue share</t>
  </si>
  <si>
    <t xml:space="preserve">TOTAL REVENUE</t>
  </si>
  <si>
    <t xml:space="preserve">COST OF SALES</t>
  </si>
  <si>
    <t xml:space="preserve">F&amp;B cost of goods</t>
  </si>
  <si>
    <t xml:space="preserve">Pro's share of lessons</t>
  </si>
  <si>
    <t xml:space="preserve">Retail COGS</t>
  </si>
  <si>
    <t xml:space="preserve">League prizes &amp; supplies</t>
  </si>
  <si>
    <t xml:space="preserve">GROSS PROFIT</t>
  </si>
  <si>
    <t xml:space="preserve">Gross margin</t>
  </si>
  <si>
    <t xml:space="preserve">OPERATING EXPENSES</t>
  </si>
  <si>
    <t xml:space="preserve">Rent + NNN</t>
  </si>
  <si>
    <t xml:space="preserve">Payroll — salaried (GM, Director net of Foundation reimb., kitchen lead)</t>
  </si>
  <si>
    <t xml:space="preserve">TOTAL OPERATING EXPENSES</t>
  </si>
  <si>
    <t xml:space="preserve">Row 40 feeds Startup working capital</t>
  </si>
  <si>
    <t xml:space="preserve">Payroll — hourly (front desk, bay hosts, bar, kitchen)</t>
  </si>
  <si>
    <t xml:space="preserve">Simulator software &amp; licensing</t>
  </si>
  <si>
    <t xml:space="preserve">Utilities</t>
  </si>
  <si>
    <t xml:space="preserve">Insurance</t>
  </si>
  <si>
    <t xml:space="preserve">Marketing</t>
  </si>
  <si>
    <t xml:space="preserve">Card processing</t>
  </si>
  <si>
    <t xml:space="preserve">Repairs &amp; maintenance</t>
  </si>
  <si>
    <t xml:space="preserve">Supplies &amp; misc</t>
  </si>
  <si>
    <t xml:space="preserve">Professional fees, admin, licenses</t>
  </si>
  <si>
    <t xml:space="preserve">RESULTS</t>
  </si>
  <si>
    <t xml:space="preserve">EBITDA</t>
  </si>
  <si>
    <t xml:space="preserve">EBITDA margin</t>
  </si>
  <si>
    <t xml:space="preserve">Depreciation</t>
  </si>
  <si>
    <t xml:space="preserve">Interest expense (approx., declining balance)</t>
  </si>
  <si>
    <t xml:space="preserve">Pre-tax income</t>
  </si>
  <si>
    <t xml:space="preserve">Income tax (pass-through estimate)</t>
  </si>
  <si>
    <t xml:space="preserve">Net income</t>
  </si>
  <si>
    <t xml:space="preserve">CASH VIEW</t>
  </si>
  <si>
    <t xml:space="preserve">Less: debt service (P&amp;I)</t>
  </si>
  <si>
    <t xml:space="preserve">Less: taxes</t>
  </si>
  <si>
    <t xml:space="preserve">Less: maintenance capex reserve (2% of revenue)</t>
  </si>
  <si>
    <t xml:space="preserve">Hitting mats, projector bulbs, screens wear out</t>
  </si>
  <si>
    <t xml:space="preserve">Free cash flow to owners</t>
  </si>
  <si>
    <t xml:space="preserve">Cumulative free cash flow</t>
  </si>
  <si>
    <t xml:space="preserve">Debt service coverage (EBITDA − tax − maint capex) / P&amp;I</t>
  </si>
  <si>
    <t xml:space="preserve">Lenders want ≥ 1.25x by Year 2</t>
  </si>
  <si>
    <t xml:space="preserve">Revenue per bay</t>
  </si>
  <si>
    <t xml:space="preserve">F&amp;B as % of revenue</t>
  </si>
  <si>
    <t xml:space="preserve">Education revenue as % of revenue</t>
  </si>
  <si>
    <t xml:space="preserve">P&amp;L 3-Bay — 5-Year Operating Projection</t>
  </si>
  <si>
    <t xml:space="preserve">P&amp;L 4-Bay — 5-Year Operating Projection</t>
  </si>
  <si>
    <t xml:space="preserve">Membership Tiers &amp; Blended Dues</t>
  </si>
  <si>
    <t xml:space="preserve">Edit price and target mix (blue). Blended dues feed the Assumptions sheet.</t>
  </si>
  <si>
    <t xml:space="preserve">Tier</t>
  </si>
  <si>
    <t xml:space="preserve">Monthly dues</t>
  </si>
  <si>
    <t xml:space="preserve">Annual prepaid</t>
  </si>
  <si>
    <t xml:space="preserve">Target mix</t>
  </si>
  <si>
    <t xml:space="preserve">Weighted dues</t>
  </si>
  <si>
    <t xml:space="preserve">What it includes</t>
  </si>
  <si>
    <t xml:space="preserve">Range (off-peak)</t>
  </si>
  <si>
    <t xml:space="preserve">Unlimited weekday 9am-4pm bay time; 20% off peak hourly; 10% F&amp;B; app booking 7 days out</t>
  </si>
  <si>
    <t xml:space="preserve">Player</t>
  </si>
  <si>
    <t xml:space="preserve">Unlimited off-peak + 6 peak hrs/mo; book 10 days out; 2 guest passes/mo; league priority; 10% F&amp;B; free bag storage</t>
  </si>
  <si>
    <t xml:space="preserve">Founders / Premier</t>
  </si>
  <si>
    <t xml:space="preserve">Unlimited any time; book 14 days out; 4 guest passes/mo; locker; annual fitting; 15% F&amp;B; 1 event room booking/yr; name on founders wall</t>
  </si>
  <si>
    <t xml:space="preserve">Corporate (per seat, min 4)</t>
  </si>
  <si>
    <t xml:space="preserve">4-10 seats; shared 12 peak hrs/mo; quarterly team event; invoiced; logo on league board</t>
  </si>
  <si>
    <t xml:space="preserve">Mix check (should be 100%)</t>
  </si>
  <si>
    <t xml:space="preserve">Blended monthly dues</t>
  </si>
  <si>
    <t xml:space="preserve">Youth / Family add-on</t>
  </si>
  <si>
    <t xml:space="preserve">Under-18 add-on to any adult membership: junior league, 2 clinics/mo, academy content. Not in blended dues (upside).</t>
  </si>
  <si>
    <t xml:space="preserve">Scholarship member (Foundation-funded)</t>
  </si>
  <si>
    <t xml:space="preserve">Foundation pays OpCo the Range rate for each scholarship youth member; shown as education revenue, not dues.</t>
  </si>
  <si>
    <t xml:space="preserve">Foundation (501(c)(3)) — Education &amp; Access Program Budget</t>
  </si>
  <si>
    <t xml:space="preserve">Separate entity. Buys bay time and staff time from OpCo. Year 1 can run under a fiscal sponsor (e.g., a community foundation) while the IRS determination is pending.</t>
  </si>
  <si>
    <t xml:space="preserve">Notes / prospect</t>
  </si>
  <si>
    <t xml:space="preserve">PROGRAM VOLUME</t>
  </si>
  <si>
    <t xml:space="preserve">Students served (unique)</t>
  </si>
  <si>
    <t xml:space="preserve">Field trips + after-school cohorts + summer academy + HS team practice</t>
  </si>
  <si>
    <t xml:space="preserve">Bay-hours purchased from OpCo</t>
  </si>
  <si>
    <t xml:space="preserve">Linked to 4-bay P&amp;L education hours</t>
  </si>
  <si>
    <t xml:space="preserve">REVENUE / SUPPORT</t>
  </si>
  <si>
    <t xml:space="preserve">School division contracts (Hampton, Newport News, Portsmouth, Norfolk)</t>
  </si>
  <si>
    <t xml:space="preserve">Title IV-A, 21st CCLC, CTE work-based learning funds; ~$600 per 2-hr class block</t>
  </si>
  <si>
    <t xml:space="preserve">PGA REACH / First Tee / USGA grants</t>
  </si>
  <si>
    <t xml:space="preserve">PGA REACH (PGA WORKS, PGA Jr League scholarships); USGA IDEA grants; First Tee Hampton Roads partnership</t>
  </si>
  <si>
    <t xml:space="preserve">Corporate sponsors (banks, utilities, healthcare, defense contractors)</t>
  </si>
  <si>
    <t xml:space="preserve">TowneBank, Dominion Energy, Sentara, Newport News Shipbuilding, Langley credit unions; CRA credit for banks</t>
  </si>
  <si>
    <t xml:space="preserve">Community foundations</t>
  </si>
  <si>
    <t xml:space="preserve">Hampton Roads Community Foundation, Peninsula Community Foundation of Virginia</t>
  </si>
  <si>
    <t xml:space="preserve">Individual donors, alumni, HBCU networks</t>
  </si>
  <si>
    <t xml:space="preserve">Hampton University alumni, Divine Nine chapters, annual scramble fundraiser</t>
  </si>
  <si>
    <t xml:space="preserve">Program fees (sliding scale, summer academy)</t>
  </si>
  <si>
    <t xml:space="preserve">Full fee for families who can pay; scholarship for those who cannot</t>
  </si>
  <si>
    <t xml:space="preserve">Fundraising events (annual gala scramble, founders night)</t>
  </si>
  <si>
    <t xml:space="preserve">TOTAL SUPPORT</t>
  </si>
  <si>
    <t xml:space="preserve">EXPENSES</t>
  </si>
  <si>
    <t xml:space="preserve">Bay time purchased from OpCo</t>
  </si>
  <si>
    <t xml:space="preserve">Education rate × hours (links to Assumptions)</t>
  </si>
  <si>
    <t xml:space="preserve">Director of Golf &amp; Education (50% reimbursement to OpCo)</t>
  </si>
  <si>
    <t xml:space="preserve">Links to Assumptions payroll</t>
  </si>
  <si>
    <t xml:space="preserve">Program coordinator (PT → FT)</t>
  </si>
  <si>
    <t xml:space="preserve">Schedules schools, transportation, volunteers; AmeriCorps VISTA in Yr 1 if available</t>
  </si>
  <si>
    <t xml:space="preserve">Curriculum development &amp; teacher stipends</t>
  </si>
  <si>
    <t xml:space="preserve">SOL-aligned math/science modules; GCSAA First Green materials</t>
  </si>
  <si>
    <t xml:space="preserve">Transportation (school buses, vans)</t>
  </si>
  <si>
    <t xml:space="preserve">Biggest hidden cost of any school partnership</t>
  </si>
  <si>
    <t xml:space="preserve">Youth equipment, gloves, balls, apparel</t>
  </si>
  <si>
    <t xml:space="preserve">US Kids Golf sets; partner discounts</t>
  </si>
  <si>
    <t xml:space="preserve">Scholarships (youth memberships, camps, caddie/PGM application support)</t>
  </si>
  <si>
    <t xml:space="preserve">Includes Evans Scholars and PGA WORKS Fellowship application coaching</t>
  </si>
  <si>
    <t xml:space="preserve">Career pathway events (superintendent days, HBCU golf visits, industry panel)</t>
  </si>
  <si>
    <t xml:space="preserve">Virginia Tech turfgrass, Hampton U golf, PGA WORKS Collegiate Championship</t>
  </si>
  <si>
    <t xml:space="preserve">Insurance, background checks, admin, audit</t>
  </si>
  <si>
    <t xml:space="preserve">TOTAL EXPENSES</t>
  </si>
  <si>
    <t xml:space="preserve">Surplus / (deficit)</t>
  </si>
  <si>
    <t xml:space="preserve">Target a modest surplus to build 3 months of reserve</t>
  </si>
  <si>
    <t xml:space="preserve">Cost per student served</t>
  </si>
  <si>
    <t xml:space="preserve">Funders benchmark youth sports/STEM programs at $250-$600 per student per year</t>
  </si>
  <si>
    <t xml:space="preserve">Cash paid to OpCo (bay time + salary reimbursement)</t>
  </si>
  <si>
    <t xml:space="preserve">This is the mission's contribution to OpCo's fixed costs</t>
  </si>
  <si>
    <t xml:space="preserve">Sensitivity — 4-Bay Year 3 EBITDA vs Utilization and Hourly Rate</t>
  </si>
  <si>
    <t xml:space="preserve">Approximation: base EBITDA plus the change in public bay revenue and F&amp;B, net of variable costs. Does not re-run payroll.</t>
  </si>
  <si>
    <t xml:space="preserve">Base Year-3 EBITDA (4-bay)</t>
  </si>
  <si>
    <t xml:space="preserve">Base utilization</t>
  </si>
  <si>
    <t xml:space="preserve">Base rate (Yr 3, escalated)</t>
  </si>
  <si>
    <t xml:space="preserve">Available bay-hours</t>
  </si>
  <si>
    <t xml:space="preserve">Public share of used hours</t>
  </si>
  <si>
    <t xml:space="preserve">F&amp;B per used hour (Yr 3)</t>
  </si>
  <si>
    <t xml:space="preserve">Variable cost % of revenue (mkt+cc+r&amp;m+misc)</t>
  </si>
  <si>
    <t xml:space="preserve">F&amp;B COGS %</t>
  </si>
  <si>
    <t xml:space="preserve">Utilization ↓  /  Yr-1 public rate →</t>
  </si>
  <si>
    <t xml:space="preserve">Read: each cell is Year-3 EBITDA for the 4-bay plan at that utilization and public hourly rate. Compare to annual debt service on the Startup sheet.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</si>
</sst>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;\(#,##0\);\-"/>
    <numFmt numFmtId="167" formatCode="0.0%;\(0.0%\);\-"/>
    <numFmt numFmtId="168" formatCode="0.00\x"/>
    <numFmt numFmtId="169" formatCode="\$#,##0.00;&quot;($&quot;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8EFEA"/>
        <bgColor rgb="FFFFFFFF"/>
      </patternFill>
    </fill>
    <fill>
      <patternFill patternType="solid">
        <fgColor rgb="FF1F4E3D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F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48" hidden="false" customHeight="true" outlineLevel="0" collapsed="false">
      <c r="A6" s="3" t="s">
        <v>6</v>
      </c>
      <c r="B6" s="4" t="s">
        <v>7</v>
      </c>
    </row>
    <row r="7" customFormat="false" ht="48" hidden="false" customHeight="true" outlineLevel="0" collapsed="false">
      <c r="A7" s="3" t="s">
        <v>8</v>
      </c>
      <c r="B7" s="4" t="s">
        <v>9</v>
      </c>
    </row>
    <row r="8" customFormat="false" ht="48" hidden="false" customHeight="true" outlineLevel="0" collapsed="false">
      <c r="A8" s="3" t="s">
        <v>10</v>
      </c>
      <c r="B8" s="4" t="s">
        <v>11</v>
      </c>
    </row>
    <row r="9" customFormat="false" ht="48" hidden="false" customHeight="true" outlineLevel="0" collapsed="false">
      <c r="A9" s="3" t="s">
        <v>12</v>
      </c>
      <c r="B9" s="4" t="s">
        <v>13</v>
      </c>
    </row>
    <row r="10" customFormat="false" ht="48" hidden="false" customHeight="true" outlineLevel="0" collapsed="false">
      <c r="A10" s="3" t="s">
        <v>14</v>
      </c>
      <c r="B1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</row>
    <row r="5" customFormat="false" ht="15" hidden="false" customHeight="false" outlineLevel="0" collapsed="false">
      <c r="A5" s="6" t="s">
        <v>23</v>
      </c>
      <c r="B5" s="7" t="n">
        <f aca="false">Startup!C25</f>
        <v>826318.36264</v>
      </c>
      <c r="C5" s="7" t="n">
        <f aca="false">Startup!D25</f>
        <v>980344.99396</v>
      </c>
      <c r="D5" s="7" t="n">
        <f aca="false">Startup!E25</f>
        <v>1134371.62528</v>
      </c>
      <c r="E5" s="2" t="s">
        <v>24</v>
      </c>
    </row>
    <row r="6" customFormat="false" ht="15" hidden="false" customHeight="false" outlineLevel="0" collapsed="false">
      <c r="A6" s="6" t="s">
        <v>25</v>
      </c>
      <c r="B6" s="7" t="n">
        <f aca="false">Startup!C29</f>
        <v>165263.672528</v>
      </c>
      <c r="C6" s="7" t="n">
        <f aca="false">Startup!D29</f>
        <v>196068.998792</v>
      </c>
      <c r="D6" s="7" t="n">
        <f aca="false">Startup!E29</f>
        <v>226874.325056</v>
      </c>
    </row>
    <row r="7" customFormat="false" ht="15" hidden="false" customHeight="false" outlineLevel="0" collapsed="false">
      <c r="A7" s="6" t="s">
        <v>26</v>
      </c>
      <c r="B7" s="7" t="n">
        <f aca="false">Startup!C30</f>
        <v>613054.690112</v>
      </c>
      <c r="C7" s="7" t="n">
        <f aca="false">Startup!D30</f>
        <v>712275.995168</v>
      </c>
      <c r="D7" s="7" t="n">
        <f aca="false">Startup!E30</f>
        <v>811497.300224</v>
      </c>
    </row>
    <row r="8" customFormat="false" ht="15" hidden="false" customHeight="false" outlineLevel="0" collapsed="false">
      <c r="A8" s="6" t="s">
        <v>27</v>
      </c>
      <c r="B8" s="7" t="n">
        <f aca="false">Startup!C31</f>
        <v>100845.843569148</v>
      </c>
      <c r="C8" s="7" t="n">
        <f aca="false">Startup!D31</f>
        <v>117167.480724515</v>
      </c>
      <c r="D8" s="7" t="n">
        <f aca="false">Startup!E31</f>
        <v>133489.117879882</v>
      </c>
    </row>
    <row r="9" customFormat="false" ht="15" hidden="false" customHeight="false" outlineLevel="0" collapsed="false">
      <c r="A9" s="6" t="s">
        <v>28</v>
      </c>
      <c r="B9" s="8" t="n">
        <f aca="false">Startup!C33</f>
        <v>3200</v>
      </c>
      <c r="C9" s="8" t="n">
        <f aca="false">Startup!D33</f>
        <v>4050</v>
      </c>
      <c r="D9" s="8" t="n">
        <f aca="false">Startup!E33</f>
        <v>4900</v>
      </c>
    </row>
    <row r="10" customFormat="false" ht="15" hidden="false" customHeight="false" outlineLevel="0" collapsed="false">
      <c r="A10" s="6" t="s">
        <v>29</v>
      </c>
      <c r="B10" s="7" t="n">
        <f aca="false">'P&amp;L 2-Bay'!C27</f>
        <v>282516.32</v>
      </c>
      <c r="C10" s="7" t="n">
        <f aca="false">'P&amp;L 3-Bay'!C27</f>
        <v>423774.48</v>
      </c>
      <c r="D10" s="7" t="n">
        <f aca="false">'P&amp;L 4-Bay'!C27</f>
        <v>565032.64</v>
      </c>
    </row>
    <row r="11" customFormat="false" ht="15" hidden="false" customHeight="false" outlineLevel="0" collapsed="false">
      <c r="A11" s="6" t="s">
        <v>30</v>
      </c>
      <c r="B11" s="7" t="n">
        <f aca="false">'P&amp;L 2-Bay'!E27</f>
        <v>547133.44592</v>
      </c>
      <c r="C11" s="7" t="n">
        <f aca="false">'P&amp;L 3-Bay'!E27</f>
        <v>813061.68888</v>
      </c>
      <c r="D11" s="7" t="n">
        <f aca="false">'P&amp;L 4-Bay'!E27</f>
        <v>1078989.93184</v>
      </c>
      <c r="E11" s="2" t="s">
        <v>31</v>
      </c>
    </row>
    <row r="12" customFormat="false" ht="15" hidden="false" customHeight="false" outlineLevel="0" collapsed="false">
      <c r="A12" s="6" t="s">
        <v>32</v>
      </c>
      <c r="B12" s="7" t="n">
        <f aca="false">'P&amp;L 2-Bay'!E68</f>
        <v>273566.72296</v>
      </c>
      <c r="C12" s="7" t="n">
        <f aca="false">'P&amp;L 3-Bay'!E68</f>
        <v>271020.56296</v>
      </c>
      <c r="D12" s="7" t="n">
        <f aca="false">'P&amp;L 4-Bay'!E68</f>
        <v>269747.48296</v>
      </c>
    </row>
    <row r="13" customFormat="false" ht="15" hidden="false" customHeight="false" outlineLevel="0" collapsed="false">
      <c r="A13" s="6" t="s">
        <v>33</v>
      </c>
      <c r="B13" s="7" t="n">
        <f aca="false">'P&amp;L 2-Bay'!C52</f>
        <v>-170382.72528</v>
      </c>
      <c r="C13" s="7" t="n">
        <f aca="false">'P&amp;L 3-Bay'!C52</f>
        <v>-125608.98792</v>
      </c>
      <c r="D13" s="7" t="n">
        <f aca="false">'P&amp;L 4-Bay'!C52</f>
        <v>-80835.2505600001</v>
      </c>
    </row>
    <row r="14" customFormat="false" ht="15" hidden="false" customHeight="false" outlineLevel="0" collapsed="false">
      <c r="A14" s="6" t="s">
        <v>34</v>
      </c>
      <c r="B14" s="7" t="n">
        <f aca="false">'P&amp;L 2-Bay'!E52</f>
        <v>-25241.1802796801</v>
      </c>
      <c r="C14" s="7" t="n">
        <f aca="false">'P&amp;L 3-Bay'!E52</f>
        <v>97828.8728704799</v>
      </c>
      <c r="D14" s="7" t="n">
        <f aca="false">'P&amp;L 4-Bay'!E52</f>
        <v>220898.92602064</v>
      </c>
    </row>
    <row r="15" customFormat="false" ht="15" hidden="false" customHeight="false" outlineLevel="0" collapsed="false">
      <c r="A15" s="6" t="s">
        <v>35</v>
      </c>
      <c r="B15" s="9" t="n">
        <f aca="false">'P&amp;L 2-Bay'!E53</f>
        <v>-0.046133498999019</v>
      </c>
      <c r="C15" s="9" t="n">
        <f aca="false">'P&amp;L 3-Bay'!E53</f>
        <v>0.120321587166701</v>
      </c>
      <c r="D15" s="9" t="n">
        <f aca="false">'P&amp;L 4-Bay'!E53</f>
        <v>0.204727513670068</v>
      </c>
      <c r="E15" s="2" t="s">
        <v>36</v>
      </c>
    </row>
    <row r="16" customFormat="false" ht="15" hidden="false" customHeight="false" outlineLevel="0" collapsed="false">
      <c r="A16" s="6" t="s">
        <v>37</v>
      </c>
      <c r="B16" s="10" t="n">
        <f aca="false">'P&amp;L 2-Bay'!C67</f>
        <v>-1.74556576106479</v>
      </c>
      <c r="C16" s="10" t="n">
        <f aca="false">'P&amp;L 3-Bay'!C67</f>
        <v>-1.14438303777531</v>
      </c>
      <c r="D16" s="10" t="n">
        <f aca="false">'P&amp;L 4-Bay'!C67</f>
        <v>-0.690212841491</v>
      </c>
    </row>
    <row r="17" customFormat="false" ht="15" hidden="false" customHeight="false" outlineLevel="0" collapsed="false">
      <c r="A17" s="6" t="s">
        <v>38</v>
      </c>
      <c r="B17" s="10" t="n">
        <f aca="false">'P&amp;L 2-Bay'!D67</f>
        <v>-0.876250855013271</v>
      </c>
      <c r="C17" s="10" t="n">
        <f aca="false">'P&amp;L 3-Bay'!D67</f>
        <v>-0.0205983124590223</v>
      </c>
      <c r="D17" s="10" t="n">
        <f aca="false">'P&amp;L 4-Bay'!D67</f>
        <v>0.625813948153973</v>
      </c>
      <c r="E17" s="2" t="s">
        <v>39</v>
      </c>
    </row>
    <row r="18" customFormat="false" ht="15" hidden="false" customHeight="false" outlineLevel="0" collapsed="false">
      <c r="A18" s="6" t="s">
        <v>40</v>
      </c>
      <c r="B18" s="10" t="n">
        <f aca="false">'P&amp;L 2-Bay'!E67</f>
        <v>-0.35880357501566</v>
      </c>
      <c r="C18" s="10" t="n">
        <f aca="false">'P&amp;L 3-Bay'!E67</f>
        <v>0.696162779881413</v>
      </c>
      <c r="D18" s="10" t="n">
        <f aca="false">'P&amp;L 4-Bay'!E67</f>
        <v>1.43797165884343</v>
      </c>
    </row>
    <row r="19" customFormat="false" ht="15" hidden="false" customHeight="false" outlineLevel="0" collapsed="false">
      <c r="A19" s="6" t="s">
        <v>41</v>
      </c>
      <c r="B19" s="7" t="n">
        <f aca="false">'P&amp;L 2-Bay'!E65</f>
        <v>-137029.692767228</v>
      </c>
      <c r="C19" s="7" t="n">
        <f aca="false">'P&amp;L 3-Bay'!E65</f>
        <v>-35599.8416316346</v>
      </c>
      <c r="D19" s="7" t="n">
        <f aca="false">'P&amp;L 4-Bay'!E65</f>
        <v>58464.4503953982</v>
      </c>
    </row>
    <row r="20" customFormat="false" ht="15" hidden="false" customHeight="false" outlineLevel="0" collapsed="false">
      <c r="A20" s="6" t="s">
        <v>42</v>
      </c>
      <c r="B20" s="7" t="n">
        <f aca="false">'P&amp;L 2-Bay'!G66</f>
        <v>-766928.974585064</v>
      </c>
      <c r="C20" s="7" t="n">
        <f aca="false">'P&amp;L 3-Bay'!G66</f>
        <v>-326708.13184433</v>
      </c>
      <c r="D20" s="7" t="n">
        <f aca="false">'P&amp;L 4-Bay'!G66</f>
        <v>48143.8932416796</v>
      </c>
    </row>
    <row r="21" customFormat="false" ht="15" hidden="false" customHeight="false" outlineLevel="0" collapsed="false">
      <c r="A21" s="6" t="s">
        <v>43</v>
      </c>
      <c r="B21" s="9" t="n">
        <f aca="false">IF(Startup!C29=0,0,'P&amp;L 2-Bay'!E65/Startup!C29)</f>
        <v>-0.829157979313398</v>
      </c>
      <c r="C21" s="9" t="n">
        <f aca="false">IF(Startup!D29=0,0,'P&amp;L 3-Bay'!E65/Startup!D29)</f>
        <v>-0.181567926857222</v>
      </c>
      <c r="D21" s="9" t="n">
        <f aca="false">IF(Startup!E29=0,0,'P&amp;L 4-Bay'!E65/Startup!E29)</f>
        <v>0.257695313830541</v>
      </c>
    </row>
    <row r="22" customFormat="false" ht="15" hidden="false" customHeight="false" outlineLevel="0" collapsed="false">
      <c r="A22" s="6" t="s">
        <v>44</v>
      </c>
      <c r="B22" s="8" t="n">
        <f aca="false">'P&amp;L 2-Bay'!E12</f>
        <v>564.48</v>
      </c>
      <c r="C22" s="8" t="n">
        <f aca="false">'P&amp;L 3-Bay'!E12</f>
        <v>846.72</v>
      </c>
      <c r="D22" s="8" t="n">
        <f aca="false">'P&amp;L 4-Bay'!E12</f>
        <v>1128.96</v>
      </c>
      <c r="E22" s="2" t="s">
        <v>45</v>
      </c>
    </row>
    <row r="23" customFormat="false" ht="15" hidden="false" customHeight="false" outlineLevel="0" collapsed="false">
      <c r="A23" s="6" t="s">
        <v>46</v>
      </c>
      <c r="B23" s="8" t="n">
        <f aca="false">'P&amp;L 2-Bay'!E12*4</f>
        <v>2257.92</v>
      </c>
      <c r="C23" s="8" t="n">
        <f aca="false">'P&amp;L 3-Bay'!E12*4</f>
        <v>3386.88</v>
      </c>
      <c r="D23" s="8" t="n">
        <f aca="false">'P&amp;L 4-Bay'!E12*4</f>
        <v>4515.84</v>
      </c>
    </row>
    <row r="25" customFormat="false" ht="15" hidden="false" customHeight="false" outlineLevel="0" collapsed="false">
      <c r="A25" s="3" t="s">
        <v>47</v>
      </c>
    </row>
    <row r="26" customFormat="false" ht="30" hidden="false" customHeight="true" outlineLevel="0" collapsed="false">
      <c r="A26" s="11" t="s">
        <v>48</v>
      </c>
      <c r="B26" s="11"/>
      <c r="C26" s="11"/>
      <c r="D26" s="11"/>
      <c r="E26" s="11"/>
    </row>
    <row r="27" customFormat="false" ht="30" hidden="false" customHeight="true" outlineLevel="0" collapsed="false">
      <c r="A27" s="11" t="s">
        <v>49</v>
      </c>
      <c r="B27" s="11"/>
      <c r="C27" s="11"/>
      <c r="D27" s="11"/>
      <c r="E27" s="11"/>
    </row>
    <row r="28" customFormat="false" ht="30" hidden="false" customHeight="true" outlineLevel="0" collapsed="false">
      <c r="A28" s="11" t="s">
        <v>50</v>
      </c>
      <c r="B28" s="11"/>
      <c r="C28" s="11"/>
      <c r="D28" s="11"/>
      <c r="E28" s="11"/>
    </row>
    <row r="29" customFormat="false" ht="30" hidden="false" customHeight="true" outlineLevel="0" collapsed="false">
      <c r="A29" s="11" t="s">
        <v>51</v>
      </c>
      <c r="B29" s="11"/>
      <c r="C29" s="11"/>
      <c r="D29" s="11"/>
      <c r="E29" s="11"/>
    </row>
  </sheetData>
  <mergeCells count="4">
    <mergeCell ref="A26:E26"/>
    <mergeCell ref="A27:E27"/>
    <mergeCell ref="A28:E28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12" t="s">
        <v>54</v>
      </c>
      <c r="B4" s="13"/>
      <c r="C4" s="13"/>
      <c r="D4" s="13"/>
      <c r="E4" s="13"/>
      <c r="F4" s="13"/>
      <c r="G4" s="13"/>
    </row>
    <row r="5" customFormat="false" ht="15" hidden="false" customHeight="false" outlineLevel="0" collapsed="false">
      <c r="B5" s="3" t="s">
        <v>55</v>
      </c>
      <c r="C5" s="3" t="s">
        <v>56</v>
      </c>
      <c r="D5" s="3" t="s">
        <v>57</v>
      </c>
      <c r="E5" s="3" t="s">
        <v>58</v>
      </c>
      <c r="F5" s="3" t="s">
        <v>59</v>
      </c>
    </row>
    <row r="6" customFormat="false" ht="15" hidden="false" customHeight="false" outlineLevel="0" collapsed="false">
      <c r="A6" s="6" t="s">
        <v>60</v>
      </c>
      <c r="B6" s="14" t="n">
        <v>360</v>
      </c>
      <c r="G6" s="2" t="s">
        <v>61</v>
      </c>
    </row>
    <row r="7" customFormat="false" ht="15" hidden="false" customHeight="false" outlineLevel="0" collapsed="false">
      <c r="A7" s="6" t="s">
        <v>62</v>
      </c>
      <c r="B7" s="14" t="n">
        <v>14</v>
      </c>
      <c r="G7" s="2" t="s">
        <v>63</v>
      </c>
    </row>
    <row r="8" customFormat="false" ht="15" hidden="false" customHeight="false" outlineLevel="0" collapsed="false">
      <c r="A8" s="6" t="s">
        <v>64</v>
      </c>
      <c r="B8" s="15" t="n">
        <v>0.28</v>
      </c>
      <c r="C8" s="15" t="n">
        <v>0.35</v>
      </c>
      <c r="D8" s="15" t="n">
        <v>0.4</v>
      </c>
      <c r="E8" s="15" t="n">
        <v>0.42</v>
      </c>
      <c r="F8" s="15" t="n">
        <v>0.44</v>
      </c>
      <c r="G8" s="2" t="s">
        <v>65</v>
      </c>
    </row>
    <row r="9" customFormat="false" ht="15" hidden="false" customHeight="false" outlineLevel="0" collapsed="false">
      <c r="A9" s="6" t="s">
        <v>66</v>
      </c>
      <c r="B9" s="16" t="n">
        <v>0.35</v>
      </c>
      <c r="G9" s="2" t="s">
        <v>67</v>
      </c>
    </row>
    <row r="10" customFormat="false" ht="15" hidden="false" customHeight="false" outlineLevel="0" collapsed="false">
      <c r="A10" s="6" t="s">
        <v>68</v>
      </c>
      <c r="B10" s="16" t="n">
        <v>0.08</v>
      </c>
      <c r="C10" s="16" t="n">
        <v>0.12</v>
      </c>
      <c r="D10" s="16" t="n">
        <v>0.14</v>
      </c>
      <c r="E10" s="16" t="n">
        <v>0.15</v>
      </c>
      <c r="F10" s="16" t="n">
        <v>0.15</v>
      </c>
      <c r="G10" s="2" t="s">
        <v>69</v>
      </c>
    </row>
    <row r="11" customFormat="false" ht="15" hidden="false" customHeight="false" outlineLevel="0" collapsed="false">
      <c r="A11" s="6" t="s">
        <v>70</v>
      </c>
      <c r="B11" s="17" t="n">
        <v>45</v>
      </c>
      <c r="G11" s="2" t="s">
        <v>71</v>
      </c>
    </row>
    <row r="12" customFormat="false" ht="15" hidden="false" customHeight="false" outlineLevel="0" collapsed="false">
      <c r="A12" s="6" t="s">
        <v>72</v>
      </c>
      <c r="B12" s="18" t="n">
        <v>30</v>
      </c>
      <c r="G12" s="2" t="s">
        <v>73</v>
      </c>
    </row>
    <row r="13" customFormat="false" ht="15" hidden="false" customHeight="false" outlineLevel="0" collapsed="false">
      <c r="A13" s="6" t="s">
        <v>74</v>
      </c>
      <c r="B13" s="16" t="n">
        <v>0.03</v>
      </c>
    </row>
    <row r="15" customFormat="false" ht="15" hidden="false" customHeight="false" outlineLevel="0" collapsed="false">
      <c r="A15" s="12" t="s">
        <v>75</v>
      </c>
      <c r="B15" s="13"/>
      <c r="C15" s="13"/>
      <c r="D15" s="13"/>
      <c r="E15" s="13"/>
      <c r="F15" s="13"/>
      <c r="G15" s="13"/>
    </row>
    <row r="16" customFormat="false" ht="15" hidden="false" customHeight="false" outlineLevel="0" collapsed="false">
      <c r="A16" s="6" t="s">
        <v>76</v>
      </c>
      <c r="B16" s="19" t="n">
        <v>15</v>
      </c>
      <c r="C16" s="19" t="n">
        <v>22</v>
      </c>
      <c r="D16" s="19" t="n">
        <v>26</v>
      </c>
      <c r="E16" s="19" t="n">
        <v>28</v>
      </c>
      <c r="F16" s="19" t="n">
        <v>29</v>
      </c>
      <c r="G16" s="2" t="s">
        <v>77</v>
      </c>
    </row>
    <row r="17" customFormat="false" ht="15" hidden="false" customHeight="false" outlineLevel="0" collapsed="false">
      <c r="A17" s="6" t="s">
        <v>78</v>
      </c>
      <c r="B17" s="7" t="n">
        <f aca="false">'Membership Tiers'!$F$12</f>
        <v>197.5</v>
      </c>
      <c r="G17" s="2" t="s">
        <v>79</v>
      </c>
    </row>
    <row r="18" customFormat="false" ht="15" hidden="false" customHeight="false" outlineLevel="0" collapsed="false">
      <c r="A18" s="6" t="s">
        <v>80</v>
      </c>
      <c r="B18" s="19" t="n">
        <v>40</v>
      </c>
      <c r="G18" s="2" t="s">
        <v>81</v>
      </c>
    </row>
    <row r="19" customFormat="false" ht="15" hidden="false" customHeight="false" outlineLevel="0" collapsed="false">
      <c r="A19" s="6" t="s">
        <v>82</v>
      </c>
      <c r="B19" s="18" t="n">
        <v>2400</v>
      </c>
      <c r="G19" s="2" t="s">
        <v>83</v>
      </c>
    </row>
    <row r="21" customFormat="false" ht="15" hidden="false" customHeight="false" outlineLevel="0" collapsed="false">
      <c r="A21" s="12" t="s">
        <v>84</v>
      </c>
      <c r="B21" s="13"/>
      <c r="C21" s="13"/>
      <c r="D21" s="13"/>
      <c r="E21" s="13"/>
      <c r="F21" s="13"/>
      <c r="G21" s="13"/>
    </row>
    <row r="22" customFormat="false" ht="15" hidden="false" customHeight="false" outlineLevel="0" collapsed="false">
      <c r="A22" s="6" t="s">
        <v>85</v>
      </c>
      <c r="B22" s="14" t="n">
        <v>3</v>
      </c>
      <c r="G22" s="2" t="s">
        <v>86</v>
      </c>
    </row>
    <row r="23" customFormat="false" ht="15" hidden="false" customHeight="false" outlineLevel="0" collapsed="false">
      <c r="A23" s="6" t="s">
        <v>87</v>
      </c>
      <c r="B23" s="14" t="n">
        <v>6</v>
      </c>
      <c r="G23" s="2" t="s">
        <v>88</v>
      </c>
    </row>
    <row r="24" customFormat="false" ht="15" hidden="false" customHeight="false" outlineLevel="0" collapsed="false">
      <c r="A24" s="6" t="s">
        <v>89</v>
      </c>
      <c r="B24" s="14" t="n">
        <v>4</v>
      </c>
    </row>
    <row r="25" customFormat="false" ht="15" hidden="false" customHeight="false" outlineLevel="0" collapsed="false">
      <c r="A25" s="6" t="s">
        <v>90</v>
      </c>
      <c r="B25" s="18" t="n">
        <v>250</v>
      </c>
    </row>
    <row r="26" customFormat="false" ht="15" hidden="false" customHeight="false" outlineLevel="0" collapsed="false">
      <c r="A26" s="6" t="s">
        <v>91</v>
      </c>
      <c r="B26" s="18" t="n">
        <v>30000</v>
      </c>
      <c r="G26" s="2" t="s">
        <v>92</v>
      </c>
    </row>
    <row r="27" customFormat="false" ht="15" hidden="false" customHeight="false" outlineLevel="0" collapsed="false">
      <c r="A27" s="6" t="s">
        <v>93</v>
      </c>
      <c r="B27" s="16" t="n">
        <v>0.5</v>
      </c>
    </row>
    <row r="28" customFormat="false" ht="15" hidden="false" customHeight="false" outlineLevel="0" collapsed="false">
      <c r="A28" s="6" t="s">
        <v>94</v>
      </c>
      <c r="B28" s="18" t="n">
        <v>17500</v>
      </c>
      <c r="G28" s="2" t="s">
        <v>95</v>
      </c>
    </row>
    <row r="29" customFormat="false" ht="15" hidden="false" customHeight="false" outlineLevel="0" collapsed="false">
      <c r="A29" s="6" t="s">
        <v>96</v>
      </c>
      <c r="B29" s="18" t="n">
        <v>6000</v>
      </c>
    </row>
    <row r="30" customFormat="false" ht="15" hidden="false" customHeight="false" outlineLevel="0" collapsed="false">
      <c r="A30" s="6" t="s">
        <v>97</v>
      </c>
      <c r="B30" s="16" t="n">
        <v>0.55</v>
      </c>
      <c r="C30" s="16" t="n">
        <v>0.85</v>
      </c>
      <c r="D30" s="16" t="n">
        <v>1</v>
      </c>
      <c r="E30" s="16" t="n">
        <v>1.05</v>
      </c>
      <c r="F30" s="16" t="n">
        <v>1.1</v>
      </c>
    </row>
    <row r="31" customFormat="false" ht="15" hidden="false" customHeight="false" outlineLevel="0" collapsed="false">
      <c r="A31" s="6" t="s">
        <v>98</v>
      </c>
      <c r="B31" s="14" t="n">
        <v>0</v>
      </c>
      <c r="C31" s="14" t="n">
        <v>1</v>
      </c>
      <c r="D31" s="14" t="n">
        <v>1</v>
      </c>
      <c r="E31" s="14" t="n">
        <v>2</v>
      </c>
      <c r="F31" s="14" t="n">
        <v>2</v>
      </c>
      <c r="G31" s="2" t="s">
        <v>99</v>
      </c>
    </row>
    <row r="32" customFormat="false" ht="15" hidden="false" customHeight="false" outlineLevel="0" collapsed="false">
      <c r="A32" s="6" t="s">
        <v>100</v>
      </c>
      <c r="B32" s="18" t="n">
        <v>14400</v>
      </c>
      <c r="G32" s="2" t="s">
        <v>101</v>
      </c>
    </row>
    <row r="34" customFormat="false" ht="15" hidden="false" customHeight="false" outlineLevel="0" collapsed="false">
      <c r="A34" s="12" t="s">
        <v>102</v>
      </c>
      <c r="B34" s="13"/>
      <c r="C34" s="13"/>
      <c r="D34" s="13"/>
      <c r="E34" s="13"/>
      <c r="F34" s="13"/>
      <c r="G34" s="13"/>
    </row>
    <row r="35" customFormat="false" ht="15" hidden="false" customHeight="false" outlineLevel="0" collapsed="false">
      <c r="A35" s="6" t="s">
        <v>103</v>
      </c>
      <c r="B35" s="17" t="n">
        <v>20</v>
      </c>
      <c r="C35" s="17" t="n">
        <v>28</v>
      </c>
      <c r="D35" s="17" t="n">
        <v>31</v>
      </c>
      <c r="E35" s="17" t="n">
        <v>32</v>
      </c>
      <c r="F35" s="17" t="n">
        <v>33</v>
      </c>
      <c r="G35" s="2" t="s">
        <v>104</v>
      </c>
    </row>
    <row r="36" customFormat="false" ht="15" hidden="false" customHeight="false" outlineLevel="0" collapsed="false">
      <c r="A36" s="6" t="s">
        <v>105</v>
      </c>
      <c r="B36" s="18" t="n">
        <v>30</v>
      </c>
    </row>
    <row r="37" customFormat="false" ht="15" hidden="false" customHeight="false" outlineLevel="0" collapsed="false">
      <c r="A37" s="6" t="s">
        <v>106</v>
      </c>
      <c r="B37" s="16" t="n">
        <v>0.34</v>
      </c>
      <c r="G37" s="2" t="s">
        <v>107</v>
      </c>
    </row>
    <row r="38" customFormat="false" ht="15" hidden="false" customHeight="false" outlineLevel="0" collapsed="false">
      <c r="A38" s="6" t="s">
        <v>108</v>
      </c>
      <c r="B38" s="16" t="n">
        <v>0.55</v>
      </c>
    </row>
    <row r="39" customFormat="false" ht="15" hidden="false" customHeight="false" outlineLevel="0" collapsed="false">
      <c r="A39" s="6" t="s">
        <v>109</v>
      </c>
      <c r="B39" s="16" t="n">
        <v>0.1</v>
      </c>
    </row>
    <row r="41" customFormat="false" ht="15" hidden="false" customHeight="false" outlineLevel="0" collapsed="false">
      <c r="A41" s="12" t="s">
        <v>110</v>
      </c>
      <c r="B41" s="13"/>
      <c r="C41" s="13"/>
      <c r="D41" s="13"/>
      <c r="E41" s="13"/>
      <c r="F41" s="13"/>
      <c r="G41" s="13"/>
    </row>
    <row r="42" customFormat="false" ht="15" hidden="false" customHeight="false" outlineLevel="0" collapsed="false">
      <c r="A42" s="6" t="s">
        <v>111</v>
      </c>
      <c r="B42" s="14" t="n">
        <v>850</v>
      </c>
      <c r="G42" s="2" t="s">
        <v>112</v>
      </c>
    </row>
    <row r="43" customFormat="false" ht="15" hidden="false" customHeight="false" outlineLevel="0" collapsed="false">
      <c r="A43" s="6" t="s">
        <v>113</v>
      </c>
      <c r="B43" s="14" t="n">
        <v>1500</v>
      </c>
      <c r="G43" s="2" t="s">
        <v>114</v>
      </c>
    </row>
    <row r="44" customFormat="false" ht="15" hidden="false" customHeight="false" outlineLevel="0" collapsed="false">
      <c r="A44" s="6" t="s">
        <v>115</v>
      </c>
      <c r="B44" s="20" t="n">
        <v>17</v>
      </c>
      <c r="G44" s="2" t="s">
        <v>116</v>
      </c>
    </row>
    <row r="45" customFormat="false" ht="15" hidden="false" customHeight="false" outlineLevel="0" collapsed="false">
      <c r="A45" s="6" t="s">
        <v>117</v>
      </c>
      <c r="B45" s="21" t="n">
        <v>4.5</v>
      </c>
    </row>
    <row r="46" customFormat="false" ht="15" hidden="false" customHeight="false" outlineLevel="0" collapsed="false">
      <c r="A46" s="6" t="s">
        <v>118</v>
      </c>
      <c r="B46" s="16" t="n">
        <v>0.03</v>
      </c>
    </row>
    <row r="47" customFormat="false" ht="15" hidden="false" customHeight="false" outlineLevel="0" collapsed="false">
      <c r="A47" s="6" t="s">
        <v>119</v>
      </c>
      <c r="B47" s="21" t="n">
        <v>3.25</v>
      </c>
      <c r="G47" s="2" t="s">
        <v>120</v>
      </c>
    </row>
    <row r="49" customFormat="false" ht="15" hidden="false" customHeight="false" outlineLevel="0" collapsed="false">
      <c r="A49" s="12" t="s">
        <v>121</v>
      </c>
      <c r="B49" s="13"/>
      <c r="C49" s="13"/>
      <c r="D49" s="13"/>
      <c r="E49" s="13"/>
      <c r="F49" s="13"/>
      <c r="G49" s="13"/>
    </row>
    <row r="50" customFormat="false" ht="15" hidden="false" customHeight="false" outlineLevel="0" collapsed="false">
      <c r="A50" s="6" t="s">
        <v>122</v>
      </c>
      <c r="B50" s="18" t="n">
        <v>65000</v>
      </c>
    </row>
    <row r="51" customFormat="false" ht="15" hidden="false" customHeight="false" outlineLevel="0" collapsed="false">
      <c r="A51" s="6" t="s">
        <v>123</v>
      </c>
      <c r="B51" s="18" t="n">
        <v>58000</v>
      </c>
      <c r="G51" s="2" t="s">
        <v>124</v>
      </c>
    </row>
    <row r="52" customFormat="false" ht="15" hidden="false" customHeight="false" outlineLevel="0" collapsed="false">
      <c r="A52" s="6" t="s">
        <v>125</v>
      </c>
      <c r="B52" s="16" t="n">
        <v>0.5</v>
      </c>
    </row>
    <row r="53" customFormat="false" ht="15" hidden="false" customHeight="false" outlineLevel="0" collapsed="false">
      <c r="A53" s="6" t="s">
        <v>126</v>
      </c>
      <c r="B53" s="18" t="n">
        <v>42000</v>
      </c>
    </row>
    <row r="54" customFormat="false" ht="15" hidden="false" customHeight="false" outlineLevel="0" collapsed="false">
      <c r="A54" s="6" t="s">
        <v>127</v>
      </c>
      <c r="B54" s="14" t="n">
        <v>42</v>
      </c>
      <c r="G54" s="2" t="s">
        <v>128</v>
      </c>
    </row>
    <row r="55" customFormat="false" ht="15" hidden="false" customHeight="false" outlineLevel="0" collapsed="false">
      <c r="A55" s="6" t="s">
        <v>129</v>
      </c>
      <c r="B55" s="14" t="n">
        <v>40</v>
      </c>
    </row>
    <row r="56" customFormat="false" ht="15" hidden="false" customHeight="false" outlineLevel="0" collapsed="false">
      <c r="A56" s="6" t="s">
        <v>130</v>
      </c>
      <c r="B56" s="21" t="n">
        <v>15.5</v>
      </c>
    </row>
    <row r="57" customFormat="false" ht="15" hidden="false" customHeight="false" outlineLevel="0" collapsed="false">
      <c r="A57" s="6" t="s">
        <v>131</v>
      </c>
      <c r="B57" s="16" t="n">
        <v>0.75</v>
      </c>
      <c r="C57" s="16" t="n">
        <v>0.9</v>
      </c>
      <c r="D57" s="16" t="n">
        <v>1</v>
      </c>
      <c r="E57" s="16" t="n">
        <v>1</v>
      </c>
      <c r="F57" s="16" t="n">
        <v>1</v>
      </c>
      <c r="G57" s="2" t="s">
        <v>132</v>
      </c>
    </row>
    <row r="58" customFormat="false" ht="15" hidden="false" customHeight="false" outlineLevel="0" collapsed="false">
      <c r="A58" s="6" t="s">
        <v>133</v>
      </c>
      <c r="B58" s="16" t="n">
        <v>0.14</v>
      </c>
    </row>
    <row r="59" customFormat="false" ht="15" hidden="false" customHeight="false" outlineLevel="0" collapsed="false">
      <c r="A59" s="6" t="s">
        <v>134</v>
      </c>
      <c r="B59" s="16" t="n">
        <v>0.03</v>
      </c>
    </row>
    <row r="61" customFormat="false" ht="15" hidden="false" customHeight="false" outlineLevel="0" collapsed="false">
      <c r="A61" s="12" t="s">
        <v>135</v>
      </c>
      <c r="B61" s="13"/>
      <c r="C61" s="13"/>
      <c r="D61" s="13"/>
      <c r="E61" s="13"/>
      <c r="F61" s="13"/>
      <c r="G61" s="13"/>
    </row>
    <row r="62" customFormat="false" ht="15" hidden="false" customHeight="false" outlineLevel="0" collapsed="false">
      <c r="A62" s="6" t="s">
        <v>136</v>
      </c>
      <c r="B62" s="18" t="n">
        <v>3600</v>
      </c>
      <c r="G62" s="2" t="s">
        <v>137</v>
      </c>
    </row>
    <row r="63" customFormat="false" ht="15" hidden="false" customHeight="false" outlineLevel="0" collapsed="false">
      <c r="A63" s="6" t="s">
        <v>138</v>
      </c>
      <c r="B63" s="18" t="n">
        <v>7200</v>
      </c>
    </row>
    <row r="64" customFormat="false" ht="15" hidden="false" customHeight="false" outlineLevel="0" collapsed="false">
      <c r="A64" s="6" t="s">
        <v>139</v>
      </c>
      <c r="B64" s="18" t="n">
        <v>12000</v>
      </c>
    </row>
    <row r="65" customFormat="false" ht="15" hidden="false" customHeight="false" outlineLevel="0" collapsed="false">
      <c r="A65" s="6" t="s">
        <v>140</v>
      </c>
      <c r="B65" s="18" t="n">
        <v>2500</v>
      </c>
    </row>
    <row r="66" customFormat="false" ht="15" hidden="false" customHeight="false" outlineLevel="0" collapsed="false">
      <c r="A66" s="6" t="s">
        <v>141</v>
      </c>
      <c r="B66" s="16" t="n">
        <v>0.07</v>
      </c>
      <c r="C66" s="16" t="n">
        <v>0.05</v>
      </c>
      <c r="D66" s="16" t="n">
        <v>0.045</v>
      </c>
      <c r="E66" s="16" t="n">
        <v>0.04</v>
      </c>
      <c r="F66" s="16" t="n">
        <v>0.04</v>
      </c>
    </row>
    <row r="67" customFormat="false" ht="15" hidden="false" customHeight="false" outlineLevel="0" collapsed="false">
      <c r="A67" s="6" t="s">
        <v>142</v>
      </c>
      <c r="B67" s="16" t="n">
        <v>0.029</v>
      </c>
    </row>
    <row r="68" customFormat="false" ht="15" hidden="false" customHeight="false" outlineLevel="0" collapsed="false">
      <c r="A68" s="6" t="s">
        <v>143</v>
      </c>
      <c r="B68" s="16" t="n">
        <v>0.015</v>
      </c>
    </row>
    <row r="69" customFormat="false" ht="15" hidden="false" customHeight="false" outlineLevel="0" collapsed="false">
      <c r="A69" s="6" t="s">
        <v>144</v>
      </c>
      <c r="B69" s="16" t="n">
        <v>0.015</v>
      </c>
    </row>
    <row r="70" customFormat="false" ht="15" hidden="false" customHeight="false" outlineLevel="0" collapsed="false">
      <c r="A70" s="6" t="s">
        <v>145</v>
      </c>
      <c r="B70" s="18" t="n">
        <v>21000</v>
      </c>
      <c r="G70" s="2" t="s">
        <v>146</v>
      </c>
    </row>
    <row r="72" customFormat="false" ht="15" hidden="false" customHeight="false" outlineLevel="0" collapsed="false">
      <c r="A72" s="12" t="s">
        <v>147</v>
      </c>
      <c r="B72" s="13"/>
      <c r="C72" s="13"/>
      <c r="D72" s="13"/>
      <c r="E72" s="13"/>
      <c r="F72" s="13"/>
      <c r="G72" s="13"/>
    </row>
    <row r="73" customFormat="false" ht="15" hidden="false" customHeight="false" outlineLevel="0" collapsed="false">
      <c r="A73" s="6" t="s">
        <v>148</v>
      </c>
      <c r="B73" s="15" t="n">
        <v>0.2</v>
      </c>
      <c r="G73" s="2" t="s">
        <v>149</v>
      </c>
    </row>
    <row r="74" customFormat="false" ht="15" hidden="false" customHeight="false" outlineLevel="0" collapsed="false">
      <c r="A74" s="6" t="s">
        <v>150</v>
      </c>
      <c r="B74" s="15" t="n">
        <v>0.1025</v>
      </c>
      <c r="G74" s="2" t="s">
        <v>151</v>
      </c>
    </row>
    <row r="75" customFormat="false" ht="15" hidden="false" customHeight="false" outlineLevel="0" collapsed="false">
      <c r="A75" s="6" t="s">
        <v>152</v>
      </c>
      <c r="B75" s="14" t="n">
        <v>10</v>
      </c>
      <c r="G75" s="2" t="s">
        <v>153</v>
      </c>
    </row>
    <row r="76" customFormat="false" ht="15" hidden="false" customHeight="false" outlineLevel="0" collapsed="false">
      <c r="A76" s="6" t="s">
        <v>154</v>
      </c>
      <c r="B76" s="14" t="n">
        <v>7</v>
      </c>
    </row>
    <row r="77" customFormat="false" ht="15" hidden="false" customHeight="false" outlineLevel="0" collapsed="false">
      <c r="A77" s="6" t="s">
        <v>155</v>
      </c>
      <c r="B77" s="16" t="n">
        <v>0.28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15" hidden="false" customHeight="false" outlineLevel="0" collapsed="false">
      <c r="A4" s="5" t="s">
        <v>158</v>
      </c>
      <c r="B4" s="5" t="s">
        <v>159</v>
      </c>
      <c r="C4" s="5" t="s">
        <v>19</v>
      </c>
      <c r="D4" s="5" t="s">
        <v>20</v>
      </c>
      <c r="E4" s="5" t="s">
        <v>21</v>
      </c>
      <c r="F4" s="5" t="s">
        <v>160</v>
      </c>
    </row>
    <row r="5" customFormat="false" ht="15" hidden="false" customHeight="false" outlineLevel="0" collapsed="false">
      <c r="A5" s="3" t="s">
        <v>161</v>
      </c>
      <c r="C5" s="14" t="n">
        <v>2</v>
      </c>
      <c r="D5" s="14" t="n">
        <v>3</v>
      </c>
      <c r="E5" s="14" t="n">
        <v>4</v>
      </c>
    </row>
    <row r="6" customFormat="false" ht="15" hidden="false" customHeight="false" outlineLevel="0" collapsed="false">
      <c r="A6" s="12" t="s">
        <v>162</v>
      </c>
      <c r="B6" s="13"/>
      <c r="C6" s="13"/>
      <c r="D6" s="13"/>
      <c r="E6" s="13"/>
      <c r="F6" s="13"/>
    </row>
    <row r="7" customFormat="false" ht="15" hidden="false" customHeight="false" outlineLevel="0" collapsed="false">
      <c r="A7" s="6" t="s">
        <v>163</v>
      </c>
      <c r="B7" s="18" t="n">
        <v>52000</v>
      </c>
      <c r="C7" s="22" t="n">
        <f aca="false">$B7*C$5</f>
        <v>104000</v>
      </c>
      <c r="D7" s="22" t="n">
        <f aca="false">$B7*D$5</f>
        <v>156000</v>
      </c>
      <c r="E7" s="22" t="n">
        <f aca="false">$B7*E$5</f>
        <v>208000</v>
      </c>
      <c r="F7" s="2" t="s">
        <v>164</v>
      </c>
    </row>
    <row r="8" customFormat="false" ht="15" hidden="false" customHeight="false" outlineLevel="0" collapsed="false">
      <c r="A8" s="6" t="s">
        <v>165</v>
      </c>
      <c r="B8" s="18" t="n">
        <v>75</v>
      </c>
      <c r="C8" s="22" t="n">
        <f aca="false">$B8*(C$5*Assumptions!$B$42+Assumptions!$B$43)</f>
        <v>240000</v>
      </c>
      <c r="D8" s="22" t="n">
        <f aca="false">$B8*(D$5*Assumptions!$B$42+Assumptions!$B$43)</f>
        <v>303750</v>
      </c>
      <c r="E8" s="22" t="n">
        <f aca="false">$B8*(E$5*Assumptions!$B$42+Assumptions!$B$43)</f>
        <v>367500</v>
      </c>
      <c r="F8" s="2" t="s">
        <v>166</v>
      </c>
    </row>
    <row r="9" customFormat="false" ht="15" hidden="false" customHeight="false" outlineLevel="0" collapsed="false">
      <c r="A9" s="6" t="s">
        <v>167</v>
      </c>
      <c r="B9" s="18" t="n">
        <v>-20</v>
      </c>
      <c r="C9" s="22" t="n">
        <f aca="false">$B9*(C$5*Assumptions!$B$42+Assumptions!$B$43)</f>
        <v>-64000</v>
      </c>
      <c r="D9" s="22" t="n">
        <f aca="false">$B9*(D$5*Assumptions!$B$42+Assumptions!$B$43)</f>
        <v>-81000</v>
      </c>
      <c r="E9" s="22" t="n">
        <f aca="false">$B9*(E$5*Assumptions!$B$42+Assumptions!$B$43)</f>
        <v>-98000</v>
      </c>
      <c r="F9" s="2" t="s">
        <v>168</v>
      </c>
    </row>
    <row r="10" customFormat="false" ht="15" hidden="false" customHeight="false" outlineLevel="0" collapsed="false">
      <c r="A10" s="6" t="s">
        <v>169</v>
      </c>
      <c r="B10" s="18" t="n">
        <v>65000</v>
      </c>
      <c r="C10" s="22" t="n">
        <f aca="false">$B10</f>
        <v>65000</v>
      </c>
      <c r="D10" s="22" t="n">
        <f aca="false">$B10</f>
        <v>65000</v>
      </c>
      <c r="E10" s="22" t="n">
        <f aca="false">$B10</f>
        <v>65000</v>
      </c>
      <c r="F10" s="2" t="s">
        <v>170</v>
      </c>
    </row>
    <row r="11" customFormat="false" ht="15" hidden="false" customHeight="false" outlineLevel="0" collapsed="false">
      <c r="A11" s="6" t="s">
        <v>171</v>
      </c>
      <c r="B11" s="18" t="n">
        <v>28000</v>
      </c>
      <c r="C11" s="22" t="n">
        <f aca="false">$B11</f>
        <v>28000</v>
      </c>
      <c r="D11" s="22" t="n">
        <f aca="false">$B11</f>
        <v>28000</v>
      </c>
      <c r="E11" s="22" t="n">
        <f aca="false">$B11</f>
        <v>28000</v>
      </c>
    </row>
    <row r="12" customFormat="false" ht="15" hidden="false" customHeight="false" outlineLevel="0" collapsed="false">
      <c r="A12" s="6" t="s">
        <v>172</v>
      </c>
      <c r="B12" s="18" t="n">
        <v>7500</v>
      </c>
      <c r="C12" s="22" t="n">
        <f aca="false">$B12*C$5</f>
        <v>15000</v>
      </c>
      <c r="D12" s="22" t="n">
        <f aca="false">$B12*D$5</f>
        <v>22500</v>
      </c>
      <c r="E12" s="22" t="n">
        <f aca="false">$B12*E$5</f>
        <v>30000</v>
      </c>
    </row>
    <row r="13" customFormat="false" ht="15" hidden="false" customHeight="false" outlineLevel="0" collapsed="false">
      <c r="A13" s="6" t="s">
        <v>173</v>
      </c>
      <c r="B13" s="18" t="n">
        <v>22000</v>
      </c>
      <c r="C13" s="22" t="n">
        <f aca="false">$B13</f>
        <v>22000</v>
      </c>
      <c r="D13" s="22" t="n">
        <f aca="false">$B13</f>
        <v>22000</v>
      </c>
      <c r="E13" s="22" t="n">
        <f aca="false">$B13</f>
        <v>22000</v>
      </c>
    </row>
    <row r="14" customFormat="false" ht="15" hidden="false" customHeight="false" outlineLevel="0" collapsed="false">
      <c r="A14" s="6" t="s">
        <v>174</v>
      </c>
      <c r="B14" s="18" t="n">
        <v>18000</v>
      </c>
      <c r="C14" s="22" t="n">
        <f aca="false">$B14</f>
        <v>18000</v>
      </c>
      <c r="D14" s="22" t="n">
        <f aca="false">$B14</f>
        <v>18000</v>
      </c>
      <c r="E14" s="22" t="n">
        <f aca="false">$B14</f>
        <v>18000</v>
      </c>
      <c r="F14" s="2" t="s">
        <v>175</v>
      </c>
    </row>
    <row r="15" customFormat="false" ht="15" hidden="false" customHeight="false" outlineLevel="0" collapsed="false">
      <c r="A15" s="6" t="s">
        <v>176</v>
      </c>
      <c r="B15" s="18" t="n">
        <v>18000</v>
      </c>
      <c r="C15" s="22" t="n">
        <f aca="false">$B15</f>
        <v>18000</v>
      </c>
      <c r="D15" s="22" t="n">
        <f aca="false">$B15</f>
        <v>18000</v>
      </c>
      <c r="E15" s="22" t="n">
        <f aca="false">$B15</f>
        <v>18000</v>
      </c>
    </row>
    <row r="16" customFormat="false" ht="15" hidden="false" customHeight="false" outlineLevel="0" collapsed="false">
      <c r="A16" s="6" t="s">
        <v>177</v>
      </c>
      <c r="B16" s="18" t="n">
        <v>14000</v>
      </c>
      <c r="C16" s="22" t="n">
        <f aca="false">$B16</f>
        <v>14000</v>
      </c>
      <c r="D16" s="22" t="n">
        <f aca="false">$B16</f>
        <v>14000</v>
      </c>
      <c r="E16" s="22" t="n">
        <f aca="false">$B16</f>
        <v>14000</v>
      </c>
    </row>
    <row r="17" customFormat="false" ht="15" hidden="false" customHeight="false" outlineLevel="0" collapsed="false">
      <c r="A17" s="6" t="s">
        <v>178</v>
      </c>
      <c r="B17" s="18" t="n">
        <v>32000</v>
      </c>
      <c r="C17" s="22" t="n">
        <f aca="false">$B17</f>
        <v>32000</v>
      </c>
      <c r="D17" s="22" t="n">
        <f aca="false">$B17</f>
        <v>32000</v>
      </c>
      <c r="E17" s="22" t="n">
        <f aca="false">$B17</f>
        <v>32000</v>
      </c>
    </row>
    <row r="18" customFormat="false" ht="15" hidden="false" customHeight="false" outlineLevel="0" collapsed="false">
      <c r="A18" s="6" t="s">
        <v>179</v>
      </c>
      <c r="B18" s="18" t="n">
        <v>4500</v>
      </c>
      <c r="C18" s="22" t="n">
        <f aca="false">$B18</f>
        <v>4500</v>
      </c>
      <c r="D18" s="22" t="n">
        <f aca="false">$B18</f>
        <v>4500</v>
      </c>
      <c r="E18" s="22" t="n">
        <f aca="false">$B18</f>
        <v>4500</v>
      </c>
      <c r="F18" s="2" t="s">
        <v>180</v>
      </c>
    </row>
    <row r="19" customFormat="false" ht="15" hidden="false" customHeight="false" outlineLevel="0" collapsed="false">
      <c r="A19" s="6" t="s">
        <v>181</v>
      </c>
      <c r="B19" s="18" t="n">
        <v>25000</v>
      </c>
      <c r="C19" s="22" t="n">
        <f aca="false">$B19</f>
        <v>25000</v>
      </c>
      <c r="D19" s="22" t="n">
        <f aca="false">$B19</f>
        <v>25000</v>
      </c>
      <c r="E19" s="22" t="n">
        <f aca="false">$B19</f>
        <v>25000</v>
      </c>
    </row>
    <row r="20" customFormat="false" ht="15" hidden="false" customHeight="false" outlineLevel="0" collapsed="false">
      <c r="A20" s="6" t="s">
        <v>182</v>
      </c>
      <c r="B20" s="18" t="n">
        <v>32000</v>
      </c>
      <c r="C20" s="22" t="n">
        <f aca="false">$B20</f>
        <v>32000</v>
      </c>
      <c r="D20" s="22" t="n">
        <f aca="false">$B20</f>
        <v>32000</v>
      </c>
      <c r="E20" s="22" t="n">
        <f aca="false">$B20</f>
        <v>32000</v>
      </c>
    </row>
    <row r="21" customFormat="false" ht="15" hidden="false" customHeight="false" outlineLevel="0" collapsed="false">
      <c r="A21" s="6" t="s">
        <v>183</v>
      </c>
      <c r="B21" s="18" t="n">
        <v>12000</v>
      </c>
      <c r="C21" s="22" t="n">
        <f aca="false">$B21</f>
        <v>12000</v>
      </c>
      <c r="D21" s="22" t="n">
        <f aca="false">$B21</f>
        <v>12000</v>
      </c>
      <c r="E21" s="22" t="n">
        <f aca="false">$B21</f>
        <v>12000</v>
      </c>
    </row>
    <row r="22" customFormat="false" ht="15" hidden="false" customHeight="false" outlineLevel="0" collapsed="false">
      <c r="A22" s="3" t="s">
        <v>184</v>
      </c>
      <c r="C22" s="23" t="n">
        <f aca="false">SUM(C7:C21)</f>
        <v>565500</v>
      </c>
      <c r="D22" s="23" t="n">
        <f aca="false">SUM(D7:D21)</f>
        <v>671750</v>
      </c>
      <c r="E22" s="23" t="n">
        <f aca="false">SUM(E7:E21)</f>
        <v>778000</v>
      </c>
    </row>
    <row r="23" customFormat="false" ht="15" hidden="false" customHeight="false" outlineLevel="0" collapsed="false">
      <c r="A23" s="6" t="s">
        <v>185</v>
      </c>
      <c r="B23" s="16" t="n">
        <v>0.1</v>
      </c>
      <c r="C23" s="22" t="n">
        <f aca="false">C22*$B23</f>
        <v>56550</v>
      </c>
      <c r="D23" s="22" t="n">
        <f aca="false">D22*$B23</f>
        <v>67175</v>
      </c>
      <c r="E23" s="22" t="n">
        <f aca="false">E22*$B23</f>
        <v>77800</v>
      </c>
      <c r="F23" s="2" t="s">
        <v>186</v>
      </c>
    </row>
    <row r="24" customFormat="false" ht="15" hidden="false" customHeight="false" outlineLevel="0" collapsed="false">
      <c r="A24" s="6" t="s">
        <v>187</v>
      </c>
      <c r="B24" s="14" t="n">
        <v>6</v>
      </c>
      <c r="C24" s="7" t="n">
        <f aca="false">$B24*'P&amp;L 2-Bay'!$C$40/12</f>
        <v>204268.36264</v>
      </c>
      <c r="D24" s="7" t="n">
        <f aca="false">$B24*'P&amp;L 3-Bay'!$C$40/12</f>
        <v>241419.99396</v>
      </c>
      <c r="E24" s="7" t="n">
        <f aca="false">$B24*'P&amp;L 4-Bay'!$C$40/12</f>
        <v>278571.62528</v>
      </c>
      <c r="F24" s="2" t="s">
        <v>188</v>
      </c>
    </row>
    <row r="25" customFormat="false" ht="15" hidden="false" customHeight="false" outlineLevel="0" collapsed="false">
      <c r="A25" s="3" t="s">
        <v>189</v>
      </c>
      <c r="C25" s="24" t="n">
        <f aca="false">C22+C23+C24</f>
        <v>826318.36264</v>
      </c>
      <c r="D25" s="24" t="n">
        <f aca="false">D22+D23+D24</f>
        <v>980344.99396</v>
      </c>
      <c r="E25" s="24" t="n">
        <f aca="false">E22+E23+E24</f>
        <v>1134371.62528</v>
      </c>
    </row>
    <row r="27" customFormat="false" ht="15" hidden="false" customHeight="false" outlineLevel="0" collapsed="false">
      <c r="A27" s="12" t="s">
        <v>190</v>
      </c>
      <c r="B27" s="13"/>
      <c r="C27" s="13"/>
      <c r="D27" s="13"/>
      <c r="E27" s="13"/>
      <c r="F27" s="13"/>
    </row>
    <row r="28" customFormat="false" ht="15" hidden="false" customHeight="false" outlineLevel="0" collapsed="false">
      <c r="A28" s="6" t="s">
        <v>191</v>
      </c>
      <c r="C28" s="7" t="n">
        <f aca="false">Assumptions!$B$18*Assumptions!$B$19*C$5/4</f>
        <v>48000</v>
      </c>
      <c r="D28" s="7" t="n">
        <f aca="false">Assumptions!$B$18*Assumptions!$B$19*D$5/4</f>
        <v>72000</v>
      </c>
      <c r="E28" s="7" t="n">
        <f aca="false">Assumptions!$B$18*Assumptions!$B$19*E$5/4</f>
        <v>96000</v>
      </c>
      <c r="F28" s="2" t="s">
        <v>192</v>
      </c>
    </row>
    <row r="29" customFormat="false" ht="15" hidden="false" customHeight="false" outlineLevel="0" collapsed="false">
      <c r="A29" s="6" t="s">
        <v>193</v>
      </c>
      <c r="C29" s="7" t="n">
        <f aca="false">Assumptions!$B$73*C25</f>
        <v>165263.672528</v>
      </c>
      <c r="D29" s="7" t="n">
        <f aca="false">Assumptions!$B$73*D25</f>
        <v>196068.998792</v>
      </c>
      <c r="E29" s="7" t="n">
        <f aca="false">Assumptions!$B$73*E25</f>
        <v>226874.325056</v>
      </c>
    </row>
    <row r="30" customFormat="false" ht="15" hidden="false" customHeight="false" outlineLevel="0" collapsed="false">
      <c r="A30" s="6" t="s">
        <v>194</v>
      </c>
      <c r="C30" s="22" t="n">
        <f aca="false">C25-C28-C29</f>
        <v>613054.690112</v>
      </c>
      <c r="D30" s="22" t="n">
        <f aca="false">D25-D28-D29</f>
        <v>712275.995168</v>
      </c>
      <c r="E30" s="22" t="n">
        <f aca="false">E25-E28-E29</f>
        <v>811497.300224</v>
      </c>
    </row>
    <row r="31" customFormat="false" ht="15" hidden="false" customHeight="false" outlineLevel="0" collapsed="false">
      <c r="A31" s="6" t="s">
        <v>195</v>
      </c>
      <c r="C31" s="22" t="n">
        <f aca="false">-PMT(Assumptions!$B$74,Assumptions!$B$75,C30)</f>
        <v>100845.843569148</v>
      </c>
      <c r="D31" s="22" t="n">
        <f aca="false">-PMT(Assumptions!$B$74,Assumptions!$B$75,D30)</f>
        <v>117167.480724515</v>
      </c>
      <c r="E31" s="22" t="n">
        <f aca="false">-PMT(Assumptions!$B$74,Assumptions!$B$75,E30)</f>
        <v>133489.117879882</v>
      </c>
    </row>
    <row r="32" customFormat="false" ht="15" hidden="false" customHeight="false" outlineLevel="0" collapsed="false">
      <c r="A32" s="6" t="s">
        <v>196</v>
      </c>
      <c r="C32" s="22" t="n">
        <f aca="false">C22+C23</f>
        <v>622050</v>
      </c>
      <c r="D32" s="22" t="n">
        <f aca="false">D22+D23</f>
        <v>738925</v>
      </c>
      <c r="E32" s="22" t="n">
        <f aca="false">E22+E23</f>
        <v>855800</v>
      </c>
    </row>
    <row r="33" customFormat="false" ht="15" hidden="false" customHeight="false" outlineLevel="0" collapsed="false">
      <c r="A33" s="6" t="s">
        <v>197</v>
      </c>
      <c r="C33" s="8" t="n">
        <f aca="false">C$5*Assumptions!$B$42+Assumptions!$B$43</f>
        <v>3200</v>
      </c>
      <c r="D33" s="8" t="n">
        <f aca="false">D$5*Assumptions!$B$42+Assumptions!$B$43</f>
        <v>4050</v>
      </c>
      <c r="E33" s="8" t="n">
        <f aca="false">E$5*Assumptions!$B$42+Assumptions!$B$43</f>
        <v>4900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1" t="s">
        <v>198</v>
      </c>
    </row>
    <row r="2" customFormat="false" ht="15" hidden="false" customHeight="false" outlineLevel="0" collapsed="false">
      <c r="A2" s="2" t="s">
        <v>199</v>
      </c>
    </row>
    <row r="4" customFormat="false" ht="15" hidden="false" customHeight="false" outlineLevel="0" collapsed="false">
      <c r="A4" s="3" t="s">
        <v>200</v>
      </c>
      <c r="B4" s="8" t="n">
        <f aca="false">Startup!C$5</f>
        <v>2</v>
      </c>
    </row>
    <row r="5" customFormat="false" ht="15" hidden="false" customHeight="false" outlineLevel="0" collapsed="false">
      <c r="A5" s="0" t="s">
        <v>201</v>
      </c>
      <c r="B5" s="25" t="n">
        <f aca="false">$B$4*Assumptions!$B$6*Assumptions!$B$7</f>
        <v>10080</v>
      </c>
    </row>
    <row r="7" customFormat="false" ht="15" hidden="false" customHeight="false" outlineLevel="0" collapsed="false">
      <c r="A7" s="5" t="s">
        <v>202</v>
      </c>
      <c r="B7" s="26"/>
      <c r="C7" s="27" t="s">
        <v>55</v>
      </c>
      <c r="D7" s="27" t="s">
        <v>56</v>
      </c>
      <c r="E7" s="27" t="s">
        <v>57</v>
      </c>
      <c r="F7" s="27" t="s">
        <v>58</v>
      </c>
      <c r="G7" s="27" t="s">
        <v>59</v>
      </c>
      <c r="H7" s="5" t="s">
        <v>203</v>
      </c>
    </row>
    <row r="8" customFormat="false" ht="15" hidden="false" customHeight="false" outlineLevel="0" collapsed="false">
      <c r="A8" s="12" t="s">
        <v>204</v>
      </c>
      <c r="B8" s="13"/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6" t="s">
        <v>205</v>
      </c>
      <c r="C9" s="28" t="n">
        <f aca="false">Assumptions!$B$8</f>
        <v>0.28</v>
      </c>
      <c r="D9" s="28" t="n">
        <f aca="false">Assumptions!$C$8</f>
        <v>0.35</v>
      </c>
      <c r="E9" s="28" t="n">
        <f aca="false">Assumptions!$D$8</f>
        <v>0.4</v>
      </c>
      <c r="F9" s="28" t="n">
        <f aca="false">Assumptions!$E$8</f>
        <v>0.42</v>
      </c>
      <c r="G9" s="28" t="n">
        <f aca="false">Assumptions!$F$8</f>
        <v>0.44</v>
      </c>
    </row>
    <row r="10" customFormat="false" ht="15" hidden="false" customHeight="false" outlineLevel="0" collapsed="false">
      <c r="A10" s="6" t="s">
        <v>206</v>
      </c>
      <c r="C10" s="29" t="n">
        <f aca="false">$B$5*C9</f>
        <v>2822.4</v>
      </c>
      <c r="D10" s="29" t="n">
        <f aca="false">$B$5*D9</f>
        <v>3528</v>
      </c>
      <c r="E10" s="29" t="n">
        <f aca="false">$B$5*E9</f>
        <v>4032</v>
      </c>
      <c r="F10" s="29" t="n">
        <f aca="false">$B$5*F9</f>
        <v>4233.6</v>
      </c>
      <c r="G10" s="29" t="n">
        <f aca="false">$B$5*G9</f>
        <v>4435.2</v>
      </c>
    </row>
    <row r="11" customFormat="false" ht="15" hidden="false" customHeight="false" outlineLevel="0" collapsed="false">
      <c r="A11" s="6" t="s">
        <v>207</v>
      </c>
      <c r="C11" s="29" t="n">
        <f aca="false">C10*Assumptions!$B$9</f>
        <v>987.84</v>
      </c>
      <c r="D11" s="29" t="n">
        <f aca="false">D10*Assumptions!$B$9</f>
        <v>1234.8</v>
      </c>
      <c r="E11" s="29" t="n">
        <f aca="false">E10*Assumptions!$B$9</f>
        <v>1411.2</v>
      </c>
      <c r="F11" s="29" t="n">
        <f aca="false">F10*Assumptions!$B$9</f>
        <v>1481.76</v>
      </c>
      <c r="G11" s="29" t="n">
        <f aca="false">G10*Assumptions!$B$9</f>
        <v>1552.32</v>
      </c>
    </row>
    <row r="12" customFormat="false" ht="15" hidden="false" customHeight="false" outlineLevel="0" collapsed="false">
      <c r="A12" s="6" t="s">
        <v>208</v>
      </c>
      <c r="C12" s="29" t="n">
        <f aca="false">C10*Assumptions!$B$10</f>
        <v>225.792</v>
      </c>
      <c r="D12" s="29" t="n">
        <f aca="false">D10*Assumptions!$C$10</f>
        <v>423.36</v>
      </c>
      <c r="E12" s="29" t="n">
        <f aca="false">E10*Assumptions!$D$10</f>
        <v>564.48</v>
      </c>
      <c r="F12" s="29" t="n">
        <f aca="false">F10*Assumptions!$E$10</f>
        <v>635.04</v>
      </c>
      <c r="G12" s="29" t="n">
        <f aca="false">G10*Assumptions!$F$10</f>
        <v>665.28</v>
      </c>
    </row>
    <row r="13" customFormat="false" ht="15" hidden="false" customHeight="false" outlineLevel="0" collapsed="false">
      <c r="A13" s="6" t="s">
        <v>209</v>
      </c>
      <c r="C13" s="29" t="n">
        <f aca="false">C10-C11-C12</f>
        <v>1608.768</v>
      </c>
      <c r="D13" s="29" t="n">
        <f aca="false">D10-D11-D12</f>
        <v>1869.84</v>
      </c>
      <c r="E13" s="29" t="n">
        <f aca="false">E10-E11-E12</f>
        <v>2056.32</v>
      </c>
      <c r="F13" s="29" t="n">
        <f aca="false">F10-F11-F12</f>
        <v>2116.8</v>
      </c>
      <c r="G13" s="29" t="n">
        <f aca="false">G10-G11-G12</f>
        <v>2217.6</v>
      </c>
    </row>
    <row r="14" customFormat="false" ht="15" hidden="false" customHeight="false" outlineLevel="0" collapsed="false">
      <c r="A14" s="6" t="s">
        <v>210</v>
      </c>
      <c r="C14" s="29" t="n">
        <f aca="false">Assumptions!$B$16*$B$4</f>
        <v>30</v>
      </c>
      <c r="D14" s="29" t="n">
        <f aca="false">Assumptions!$C$16*$B$4</f>
        <v>44</v>
      </c>
      <c r="E14" s="29" t="n">
        <f aca="false">Assumptions!$D$16*$B$4</f>
        <v>52</v>
      </c>
      <c r="F14" s="29" t="n">
        <f aca="false">Assumptions!$E$16*$B$4</f>
        <v>56</v>
      </c>
      <c r="G14" s="29" t="n">
        <f aca="false">Assumptions!$F$16*$B$4</f>
        <v>58</v>
      </c>
    </row>
    <row r="15" customFormat="false" ht="15" hidden="false" customHeight="false" outlineLevel="0" collapsed="false">
      <c r="A15" s="6" t="s">
        <v>211</v>
      </c>
      <c r="C15" s="29" t="n">
        <f aca="false">(Assumptions!$B$18*$B$4/4+C14)/2</f>
        <v>25</v>
      </c>
      <c r="D15" s="29" t="n">
        <f aca="false">(C14+D14)/2</f>
        <v>37</v>
      </c>
      <c r="E15" s="29" t="n">
        <f aca="false">(D14+E14)/2</f>
        <v>48</v>
      </c>
      <c r="F15" s="29" t="n">
        <f aca="false">(E14+F14)/2</f>
        <v>54</v>
      </c>
      <c r="G15" s="29" t="n">
        <f aca="false">(F14+G14)/2</f>
        <v>57</v>
      </c>
      <c r="H15" s="2" t="s">
        <v>212</v>
      </c>
    </row>
    <row r="17" customFormat="false" ht="15" hidden="false" customHeight="false" outlineLevel="0" collapsed="false">
      <c r="A17" s="12" t="s">
        <v>213</v>
      </c>
      <c r="B17" s="13"/>
      <c r="C17" s="13"/>
      <c r="D17" s="13"/>
      <c r="E17" s="13"/>
      <c r="F17" s="13"/>
      <c r="G17" s="13"/>
      <c r="H17" s="13"/>
    </row>
    <row r="18" customFormat="false" ht="15" hidden="false" customHeight="false" outlineLevel="0" collapsed="false">
      <c r="A18" s="6" t="s">
        <v>214</v>
      </c>
      <c r="C18" s="22" t="n">
        <f aca="false">C13*Assumptions!$B$11*(1+Assumptions!$B$13)^0</f>
        <v>72394.56</v>
      </c>
      <c r="D18" s="22" t="n">
        <f aca="false">D13*Assumptions!$B$11*(1+Assumptions!$B$13)^1</f>
        <v>86667.084</v>
      </c>
      <c r="E18" s="22" t="n">
        <f aca="false">E13*Assumptions!$B$11*(1+Assumptions!$B$13)^2</f>
        <v>98169.74496</v>
      </c>
      <c r="F18" s="22" t="n">
        <f aca="false">F13*Assumptions!$B$11*(1+Assumptions!$B$13)^3</f>
        <v>104088.803112</v>
      </c>
      <c r="G18" s="22" t="n">
        <f aca="false">G13*Assumptions!$B$11*(1+Assumptions!$B$13)^4</f>
        <v>112316.77516752</v>
      </c>
      <c r="H18" s="2" t="s">
        <v>215</v>
      </c>
    </row>
    <row r="19" customFormat="false" ht="15" hidden="false" customHeight="false" outlineLevel="0" collapsed="false">
      <c r="A19" s="6" t="s">
        <v>216</v>
      </c>
      <c r="C19" s="22" t="n">
        <f aca="false">C15*Assumptions!$B$17*12*(1+Assumptions!$B$13)^0</f>
        <v>59250</v>
      </c>
      <c r="D19" s="22" t="n">
        <f aca="false">D15*Assumptions!$B$17*12*(1+Assumptions!$B$13)^1</f>
        <v>90320.7</v>
      </c>
      <c r="E19" s="22" t="n">
        <f aca="false">E15*Assumptions!$B$17*12*(1+Assumptions!$B$13)^2</f>
        <v>120687.984</v>
      </c>
      <c r="F19" s="22" t="n">
        <f aca="false">F15*Assumptions!$B$17*12*(1+Assumptions!$B$13)^3</f>
        <v>139847.20146</v>
      </c>
      <c r="G19" s="22" t="n">
        <f aca="false">G15*Assumptions!$B$17*12*(1+Assumptions!$B$13)^4</f>
        <v>152044.9851429</v>
      </c>
    </row>
    <row r="20" customFormat="false" ht="15" hidden="false" customHeight="false" outlineLevel="0" collapsed="false">
      <c r="A20" s="6" t="s">
        <v>217</v>
      </c>
      <c r="C20" s="22" t="n">
        <f aca="false">C12*Assumptions!$B$12*(1+Assumptions!$B$13)^0</f>
        <v>6773.76</v>
      </c>
      <c r="D20" s="22" t="n">
        <f aca="false">D12*Assumptions!$B$12*(1+Assumptions!$B$13)^1</f>
        <v>13081.824</v>
      </c>
      <c r="E20" s="22" t="n">
        <f aca="false">E12*Assumptions!$B$12*(1+Assumptions!$B$13)^2</f>
        <v>17965.70496</v>
      </c>
      <c r="F20" s="22" t="n">
        <f aca="false">F12*Assumptions!$B$12*(1+Assumptions!$B$13)^3</f>
        <v>20817.7606224</v>
      </c>
      <c r="G20" s="22" t="n">
        <f aca="false">G12*Assumptions!$B$12*(1+Assumptions!$B$13)^4</f>
        <v>22463.355033504</v>
      </c>
      <c r="H20" s="2" t="s">
        <v>218</v>
      </c>
    </row>
    <row r="21" customFormat="false" ht="15" hidden="false" customHeight="false" outlineLevel="0" collapsed="false">
      <c r="A21" s="6" t="s">
        <v>219</v>
      </c>
      <c r="C21" s="22" t="n">
        <f aca="false">Assumptions!$B$22*Assumptions!$B$23*$B$4*Assumptions!$B$24*Assumptions!$B$25*Assumptions!$B$30*(1+Assumptions!$B$13)^0</f>
        <v>19800</v>
      </c>
      <c r="D21" s="22" t="n">
        <f aca="false">Assumptions!$B$22*Assumptions!$B$23*$B$4*Assumptions!$B$24*Assumptions!$B$25*Assumptions!$C$30*(1+Assumptions!$B$13)^1</f>
        <v>31518</v>
      </c>
      <c r="E21" s="22" t="n">
        <f aca="false">Assumptions!$B$22*Assumptions!$B$23*$B$4*Assumptions!$B$24*Assumptions!$B$25*Assumptions!$D$30*(1+Assumptions!$B$13)^2</f>
        <v>38192.4</v>
      </c>
      <c r="F21" s="22" t="n">
        <f aca="false">Assumptions!$B$22*Assumptions!$B$23*$B$4*Assumptions!$B$24*Assumptions!$B$25*Assumptions!$E$30*(1+Assumptions!$B$13)^3</f>
        <v>41305.0806</v>
      </c>
      <c r="G21" s="22" t="n">
        <f aca="false">Assumptions!$B$22*Assumptions!$B$23*$B$4*Assumptions!$B$24*Assumptions!$B$25*Assumptions!$F$30*(1+Assumptions!$B$13)^4</f>
        <v>44570.148876</v>
      </c>
    </row>
    <row r="22" customFormat="false" ht="15" hidden="false" customHeight="false" outlineLevel="0" collapsed="false">
      <c r="A22" s="6" t="s">
        <v>220</v>
      </c>
      <c r="C22" s="22" t="n">
        <f aca="false">Assumptions!$B$26*$B$4*Assumptions!$B$30*(1+Assumptions!$B$13)^0</f>
        <v>33000</v>
      </c>
      <c r="D22" s="22" t="n">
        <f aca="false">Assumptions!$B$26*$B$4*Assumptions!$C$30*(1+Assumptions!$B$13)^1</f>
        <v>52530</v>
      </c>
      <c r="E22" s="22" t="n">
        <f aca="false">Assumptions!$B$26*$B$4*Assumptions!$D$30*(1+Assumptions!$B$13)^2</f>
        <v>63654</v>
      </c>
      <c r="F22" s="22" t="n">
        <f aca="false">Assumptions!$B$26*$B$4*Assumptions!$E$30*(1+Assumptions!$B$13)^3</f>
        <v>68841.801</v>
      </c>
      <c r="G22" s="22" t="n">
        <f aca="false">Assumptions!$B$26*$B$4*Assumptions!$F$30*(1+Assumptions!$B$13)^4</f>
        <v>74283.58146</v>
      </c>
    </row>
    <row r="23" customFormat="false" ht="15" hidden="false" customHeight="false" outlineLevel="0" collapsed="false">
      <c r="A23" s="6" t="s">
        <v>221</v>
      </c>
      <c r="C23" s="22" t="n">
        <f aca="false">Assumptions!$B$28*$B$4*Assumptions!$B$30*(1+Assumptions!$B$13)^0</f>
        <v>19250</v>
      </c>
      <c r="D23" s="22" t="n">
        <f aca="false">Assumptions!$B$28*$B$4*Assumptions!$C$30*(1+Assumptions!$B$13)^1</f>
        <v>30642.5</v>
      </c>
      <c r="E23" s="22" t="n">
        <f aca="false">Assumptions!$B$28*$B$4*Assumptions!$D$30*(1+Assumptions!$B$13)^2</f>
        <v>37131.5</v>
      </c>
      <c r="F23" s="22" t="n">
        <f aca="false">Assumptions!$B$28*$B$4*Assumptions!$E$30*(1+Assumptions!$B$13)^3</f>
        <v>40157.71725</v>
      </c>
      <c r="G23" s="22" t="n">
        <f aca="false">Assumptions!$B$28*$B$4*Assumptions!$F$30*(1+Assumptions!$B$13)^4</f>
        <v>43332.089185</v>
      </c>
    </row>
    <row r="24" customFormat="false" ht="15" hidden="false" customHeight="false" outlineLevel="0" collapsed="false">
      <c r="A24" s="6" t="s">
        <v>222</v>
      </c>
      <c r="C24" s="22" t="n">
        <f aca="false">C10*Assumptions!$B$35+C15*Assumptions!$B$36*12*(1+Assumptions!$B$13)^0</f>
        <v>65448</v>
      </c>
      <c r="D24" s="22" t="n">
        <f aca="false">D10*Assumptions!$C$35+D15*Assumptions!$B$36*12*(1+Assumptions!$B$13)^1</f>
        <v>112503.6</v>
      </c>
      <c r="E24" s="22" t="n">
        <f aca="false">E10*Assumptions!$D$35+E15*Assumptions!$B$36*12*(1+Assumptions!$B$13)^2</f>
        <v>143324.352</v>
      </c>
      <c r="F24" s="22" t="n">
        <f aca="false">F10*Assumptions!$E$35+F15*Assumptions!$B$36*12*(1+Assumptions!$B$13)^3</f>
        <v>156717.81288</v>
      </c>
      <c r="G24" s="22" t="n">
        <f aca="false">G10*Assumptions!$F$35+G15*Assumptions!$B$36*12*(1+Assumptions!$B$13)^4</f>
        <v>169457.0407812</v>
      </c>
      <c r="H24" s="2" t="s">
        <v>223</v>
      </c>
    </row>
    <row r="25" customFormat="false" ht="15" hidden="false" customHeight="false" outlineLevel="0" collapsed="false">
      <c r="A25" s="6" t="s">
        <v>224</v>
      </c>
      <c r="C25" s="22" t="n">
        <f aca="false">Assumptions!$B$29*$B$4*Assumptions!$B$30*(1+Assumptions!$B$13)^0</f>
        <v>6600</v>
      </c>
      <c r="D25" s="22" t="n">
        <f aca="false">Assumptions!$B$29*$B$4*Assumptions!$C$30*(1+Assumptions!$B$13)^1</f>
        <v>10506</v>
      </c>
      <c r="E25" s="22" t="n">
        <f aca="false">Assumptions!$B$29*$B$4*Assumptions!$D$30*(1+Assumptions!$B$13)^2</f>
        <v>12730.8</v>
      </c>
      <c r="F25" s="22" t="n">
        <f aca="false">Assumptions!$B$29*$B$4*Assumptions!$E$30*(1+Assumptions!$B$13)^3</f>
        <v>13768.3602</v>
      </c>
      <c r="G25" s="22" t="n">
        <f aca="false">Assumptions!$B$29*$B$4*Assumptions!$F$30*(1+Assumptions!$B$13)^4</f>
        <v>14856.716292</v>
      </c>
    </row>
    <row r="26" customFormat="false" ht="15" hidden="false" customHeight="false" outlineLevel="0" collapsed="false">
      <c r="A26" s="6" t="s">
        <v>225</v>
      </c>
      <c r="C26" s="22" t="n">
        <f aca="false">Assumptions!$B$31*Assumptions!$B$32*(1+Assumptions!$B$13)^0</f>
        <v>0</v>
      </c>
      <c r="D26" s="22" t="n">
        <f aca="false">Assumptions!$C$31*Assumptions!$B$32*(1+Assumptions!$B$13)^1</f>
        <v>14832</v>
      </c>
      <c r="E26" s="22" t="n">
        <f aca="false">Assumptions!$D$31*Assumptions!$B$32*(1+Assumptions!$B$13)^2</f>
        <v>15276.96</v>
      </c>
      <c r="F26" s="22" t="n">
        <f aca="false">Assumptions!$E$31*Assumptions!$B$32*(1+Assumptions!$B$13)^3</f>
        <v>31470.5376</v>
      </c>
      <c r="G26" s="22" t="n">
        <f aca="false">Assumptions!$F$31*Assumptions!$B$32*(1+Assumptions!$B$13)^4</f>
        <v>32414.653728</v>
      </c>
    </row>
    <row r="27" customFormat="false" ht="15" hidden="false" customHeight="false" outlineLevel="0" collapsed="false">
      <c r="A27" s="3" t="s">
        <v>226</v>
      </c>
      <c r="C27" s="23" t="n">
        <f aca="false">SUM(C18:C26)</f>
        <v>282516.32</v>
      </c>
      <c r="D27" s="23" t="n">
        <f aca="false">SUM(D18:D26)</f>
        <v>442601.708</v>
      </c>
      <c r="E27" s="23" t="n">
        <f aca="false">SUM(E18:E26)</f>
        <v>547133.44592</v>
      </c>
      <c r="F27" s="23" t="n">
        <f aca="false">SUM(F18:F26)</f>
        <v>617015.0747244</v>
      </c>
      <c r="G27" s="23" t="n">
        <f aca="false">SUM(G18:G26)</f>
        <v>665739.345666124</v>
      </c>
    </row>
    <row r="29" customFormat="false" ht="15" hidden="false" customHeight="false" outlineLevel="0" collapsed="false">
      <c r="A29" s="12" t="s">
        <v>227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6" t="s">
        <v>228</v>
      </c>
      <c r="C30" s="22" t="n">
        <f aca="false">C24*Assumptions!$B$37</f>
        <v>22252.32</v>
      </c>
      <c r="D30" s="22" t="n">
        <f aca="false">D24*Assumptions!$B$37</f>
        <v>38251.224</v>
      </c>
      <c r="E30" s="22" t="n">
        <f aca="false">E24*Assumptions!$B$37</f>
        <v>48730.27968</v>
      </c>
      <c r="F30" s="22" t="n">
        <f aca="false">F24*Assumptions!$B$37</f>
        <v>53284.0563792</v>
      </c>
      <c r="G30" s="22" t="n">
        <f aca="false">G24*Assumptions!$B$37</f>
        <v>57615.393865608</v>
      </c>
    </row>
    <row r="31" customFormat="false" ht="15" hidden="false" customHeight="false" outlineLevel="0" collapsed="false">
      <c r="A31" s="6" t="s">
        <v>229</v>
      </c>
      <c r="C31" s="22" t="n">
        <f aca="false">C22*Assumptions!$B$27</f>
        <v>16500</v>
      </c>
      <c r="D31" s="22" t="n">
        <f aca="false">D22*Assumptions!$B$27</f>
        <v>26265</v>
      </c>
      <c r="E31" s="22" t="n">
        <f aca="false">E22*Assumptions!$B$27</f>
        <v>31827</v>
      </c>
      <c r="F31" s="22" t="n">
        <f aca="false">F22*Assumptions!$B$27</f>
        <v>34420.9005</v>
      </c>
      <c r="G31" s="22" t="n">
        <f aca="false">G22*Assumptions!$B$27</f>
        <v>37141.79073</v>
      </c>
    </row>
    <row r="32" customFormat="false" ht="15" hidden="false" customHeight="false" outlineLevel="0" collapsed="false">
      <c r="A32" s="6" t="s">
        <v>230</v>
      </c>
      <c r="C32" s="22" t="n">
        <f aca="false">C25*Assumptions!$B$38</f>
        <v>3630</v>
      </c>
      <c r="D32" s="22" t="n">
        <f aca="false">D25*Assumptions!$B$38</f>
        <v>5778.3</v>
      </c>
      <c r="E32" s="22" t="n">
        <f aca="false">E25*Assumptions!$B$38</f>
        <v>7001.94</v>
      </c>
      <c r="F32" s="22" t="n">
        <f aca="false">F25*Assumptions!$B$38</f>
        <v>7572.59811</v>
      </c>
      <c r="G32" s="22" t="n">
        <f aca="false">G25*Assumptions!$B$38</f>
        <v>8171.1939606</v>
      </c>
    </row>
    <row r="33" customFormat="false" ht="15" hidden="false" customHeight="false" outlineLevel="0" collapsed="false">
      <c r="A33" s="6" t="s">
        <v>231</v>
      </c>
      <c r="C33" s="22" t="n">
        <f aca="false">C21*Assumptions!$B$39</f>
        <v>1980</v>
      </c>
      <c r="D33" s="22" t="n">
        <f aca="false">D21*Assumptions!$B$39</f>
        <v>3151.8</v>
      </c>
      <c r="E33" s="22" t="n">
        <f aca="false">E21*Assumptions!$B$39</f>
        <v>3819.24</v>
      </c>
      <c r="F33" s="22" t="n">
        <f aca="false">F21*Assumptions!$B$39</f>
        <v>4130.50806</v>
      </c>
      <c r="G33" s="22" t="n">
        <f aca="false">G21*Assumptions!$B$39</f>
        <v>4457.0148876</v>
      </c>
    </row>
    <row r="34" customFormat="false" ht="15" hidden="false" customHeight="false" outlineLevel="0" collapsed="false">
      <c r="A34" s="3" t="s">
        <v>232</v>
      </c>
      <c r="C34" s="23" t="n">
        <f aca="false">C27-SUM(C30:C33)</f>
        <v>238154</v>
      </c>
      <c r="D34" s="23" t="n">
        <f aca="false">D27-SUM(D30:D33)</f>
        <v>369155.384</v>
      </c>
      <c r="E34" s="23" t="n">
        <f aca="false">E27-SUM(E30:E33)</f>
        <v>455754.98624</v>
      </c>
      <c r="F34" s="23" t="n">
        <f aca="false">F27-SUM(F30:F33)</f>
        <v>517607.0116752</v>
      </c>
      <c r="G34" s="23" t="n">
        <f aca="false">G27-SUM(G30:G33)</f>
        <v>558353.952222316</v>
      </c>
    </row>
    <row r="35" customFormat="false" ht="15" hidden="false" customHeight="false" outlineLevel="0" collapsed="false">
      <c r="A35" s="6" t="s">
        <v>233</v>
      </c>
      <c r="C35" s="28" t="n">
        <f aca="false">IF(C27=0,0,C34/C27)</f>
        <v>0.842974310298251</v>
      </c>
      <c r="D35" s="28" t="n">
        <f aca="false">IF(D27=0,0,D34/D27)</f>
        <v>0.834057748371816</v>
      </c>
      <c r="E35" s="28" t="n">
        <f aca="false">IF(E27=0,0,E34/E27)</f>
        <v>0.832986887638814</v>
      </c>
      <c r="F35" s="28" t="n">
        <f aca="false">IF(F27=0,0,F34/F27)</f>
        <v>0.838888761196633</v>
      </c>
      <c r="G35" s="28" t="n">
        <f aca="false">IF(G27=0,0,G34/G27)</f>
        <v>0.838697541097919</v>
      </c>
    </row>
    <row r="37" customFormat="false" ht="15" hidden="false" customHeight="false" outlineLevel="0" collapsed="false">
      <c r="A37" s="12" t="s">
        <v>234</v>
      </c>
      <c r="B37" s="13"/>
      <c r="C37" s="13"/>
      <c r="D37" s="13"/>
      <c r="E37" s="13"/>
      <c r="F37" s="13"/>
      <c r="G37" s="13"/>
      <c r="H37" s="13"/>
    </row>
    <row r="38" customFormat="false" ht="15" hidden="false" customHeight="false" outlineLevel="0" collapsed="false">
      <c r="A38" s="6" t="s">
        <v>235</v>
      </c>
      <c r="C38" s="22" t="n">
        <f aca="false">Startup!C$33*(Assumptions!$B$44+Assumptions!$B$45)*(1+Assumptions!$B$46)^0</f>
        <v>68800</v>
      </c>
      <c r="D38" s="22" t="n">
        <f aca="false">Startup!C$33*(Assumptions!$B$44+Assumptions!$B$45)*(1+Assumptions!$B$46)^1</f>
        <v>70864</v>
      </c>
      <c r="E38" s="22" t="n">
        <f aca="false">Startup!C$33*(Assumptions!$B$44+Assumptions!$B$45)*(1+Assumptions!$B$46)^2</f>
        <v>72989.92</v>
      </c>
      <c r="F38" s="22" t="n">
        <f aca="false">Startup!C$33*(Assumptions!$B$44+Assumptions!$B$45)*(1+Assumptions!$B$46)^3</f>
        <v>75179.6176</v>
      </c>
      <c r="G38" s="22" t="n">
        <f aca="false">Startup!C$33*(Assumptions!$B$44+Assumptions!$B$45)*(1+Assumptions!$B$46)^4</f>
        <v>77435.006128</v>
      </c>
    </row>
    <row r="39" customFormat="false" ht="15" hidden="false" customHeight="false" outlineLevel="0" collapsed="false">
      <c r="A39" s="6" t="s">
        <v>236</v>
      </c>
      <c r="C39" s="22" t="n">
        <f aca="false">(Assumptions!$B$50+Assumptions!$B$51*(1-Assumptions!$B$52)+Assumptions!$B$53)*(1+Assumptions!$B$58)*(1+Assumptions!$B$59)^0</f>
        <v>155040</v>
      </c>
      <c r="D39" s="22" t="n">
        <f aca="false">(Assumptions!$B$50+Assumptions!$B$51*(1-Assumptions!$B$52)+Assumptions!$B$53)*(1+Assumptions!$B$58)*(1+Assumptions!$B$59)^1</f>
        <v>159691.2</v>
      </c>
      <c r="E39" s="22" t="n">
        <f aca="false">(Assumptions!$B$50+Assumptions!$B$51*(1-Assumptions!$B$52)+Assumptions!$B$53)*(1+Assumptions!$B$58)*(1+Assumptions!$B$59)^2</f>
        <v>164481.936</v>
      </c>
      <c r="F39" s="22" t="n">
        <f aca="false">(Assumptions!$B$50+Assumptions!$B$51*(1-Assumptions!$B$52)+Assumptions!$B$53)*(1+Assumptions!$B$58)*(1+Assumptions!$B$59)^3</f>
        <v>169416.39408</v>
      </c>
      <c r="G39" s="22" t="n">
        <f aca="false">(Assumptions!$B$50+Assumptions!$B$51*(1-Assumptions!$B$52)+Assumptions!$B$53)*(1+Assumptions!$B$58)*(1+Assumptions!$B$59)^4</f>
        <v>174498.8859024</v>
      </c>
    </row>
    <row r="40" customFormat="false" ht="15" hidden="false" customHeight="false" outlineLevel="0" collapsed="false">
      <c r="A40" s="3" t="s">
        <v>237</v>
      </c>
      <c r="C40" s="23" t="n">
        <f aca="false">SUM(C38:C39)+SUM(C41:C49)</f>
        <v>408536.72528</v>
      </c>
      <c r="D40" s="23" t="n">
        <f aca="false">SUM(D38:D39)+SUM(D41:D49)</f>
        <v>448669.606492</v>
      </c>
      <c r="E40" s="23" t="n">
        <f aca="false">SUM(E38:E39)+SUM(E41:E49)</f>
        <v>480996.16651968</v>
      </c>
      <c r="F40" s="23" t="n">
        <f aca="false">SUM(F38:F39)+SUM(F41:F49)</f>
        <v>497469.609186036</v>
      </c>
      <c r="G40" s="23" t="n">
        <f aca="false">SUM(G38:G39)+SUM(G41:G49)</f>
        <v>514952.865512916</v>
      </c>
      <c r="H40" s="2" t="s">
        <v>238</v>
      </c>
    </row>
    <row r="41" customFormat="false" ht="15" hidden="false" customHeight="false" outlineLevel="0" collapsed="false">
      <c r="A41" s="6" t="s">
        <v>239</v>
      </c>
      <c r="C41" s="22" t="n">
        <f aca="false">(Assumptions!$B$55+Assumptions!$B$54*$B$4)*52*Assumptions!$B$56*(1+Assumptions!$B$58)*(1+Assumptions!$B$59)^0*Assumptions!$B$57</f>
        <v>85452.12</v>
      </c>
      <c r="D41" s="22" t="n">
        <f aca="false">(Assumptions!$B$55+Assumptions!$B$54*$B$4)*52*Assumptions!$B$56*(1+Assumptions!$B$58)*(1+Assumptions!$B$59)^1*Assumptions!$C$57</f>
        <v>105618.82032</v>
      </c>
      <c r="E41" s="22" t="n">
        <f aca="false">(Assumptions!$B$55+Assumptions!$B$54*$B$4)*52*Assumptions!$B$56*(1+Assumptions!$B$58)*(1+Assumptions!$B$59)^2*Assumptions!$D$57</f>
        <v>120874.872144</v>
      </c>
      <c r="F41" s="22" t="n">
        <f aca="false">(Assumptions!$B$55+Assumptions!$B$54*$B$4)*52*Assumptions!$B$56*(1+Assumptions!$B$58)*(1+Assumptions!$B$59)^3*Assumptions!$E$57</f>
        <v>124501.11830832</v>
      </c>
      <c r="G41" s="22" t="n">
        <f aca="false">(Assumptions!$B$55+Assumptions!$B$54*$B$4)*52*Assumptions!$B$56*(1+Assumptions!$B$58)*(1+Assumptions!$B$59)^4*Assumptions!$F$57</f>
        <v>128236.15185757</v>
      </c>
    </row>
    <row r="42" customFormat="false" ht="15" hidden="false" customHeight="false" outlineLevel="0" collapsed="false">
      <c r="A42" s="6" t="s">
        <v>240</v>
      </c>
      <c r="C42" s="22" t="n">
        <f aca="false">Assumptions!$B$62*$B$4+Assumptions!$B$63</f>
        <v>14400</v>
      </c>
      <c r="D42" s="22" t="n">
        <f aca="false">Assumptions!$B$62*$B$4+Assumptions!$B$63</f>
        <v>14400</v>
      </c>
      <c r="E42" s="22" t="n">
        <f aca="false">Assumptions!$B$62*$B$4+Assumptions!$B$63</f>
        <v>14400</v>
      </c>
      <c r="F42" s="22" t="n">
        <f aca="false">Assumptions!$B$62*$B$4+Assumptions!$B$63</f>
        <v>14400</v>
      </c>
      <c r="G42" s="22" t="n">
        <f aca="false">Assumptions!$B$62*$B$4+Assumptions!$B$63</f>
        <v>14400</v>
      </c>
    </row>
    <row r="43" customFormat="false" ht="15" hidden="false" customHeight="false" outlineLevel="0" collapsed="false">
      <c r="A43" s="6" t="s">
        <v>241</v>
      </c>
      <c r="C43" s="22" t="n">
        <f aca="false">Startup!C$33*Assumptions!$B$47*(1+Assumptions!$B$46)^0</f>
        <v>10400</v>
      </c>
      <c r="D43" s="22" t="n">
        <f aca="false">Startup!C$33*Assumptions!$B$47*(1+Assumptions!$B$46)^1</f>
        <v>10712</v>
      </c>
      <c r="E43" s="22" t="n">
        <f aca="false">Startup!C$33*Assumptions!$B$47*(1+Assumptions!$B$46)^2</f>
        <v>11033.36</v>
      </c>
      <c r="F43" s="22" t="n">
        <f aca="false">Startup!C$33*Assumptions!$B$47*(1+Assumptions!$B$46)^3</f>
        <v>11364.3608</v>
      </c>
      <c r="G43" s="22" t="n">
        <f aca="false">Startup!C$33*Assumptions!$B$47*(1+Assumptions!$B$46)^4</f>
        <v>11705.291624</v>
      </c>
    </row>
    <row r="44" customFormat="false" ht="15" hidden="false" customHeight="false" outlineLevel="0" collapsed="false">
      <c r="A44" s="6" t="s">
        <v>242</v>
      </c>
      <c r="C44" s="22" t="n">
        <f aca="false">(Assumptions!$B$64+Assumptions!$B$65*$B$4)*(1+Assumptions!$B$46)^0</f>
        <v>17000</v>
      </c>
      <c r="D44" s="22" t="n">
        <f aca="false">(Assumptions!$B$64+Assumptions!$B$65*$B$4)*(1+Assumptions!$B$46)^1</f>
        <v>17510</v>
      </c>
      <c r="E44" s="22" t="n">
        <f aca="false">(Assumptions!$B$64+Assumptions!$B$65*$B$4)*(1+Assumptions!$B$46)^2</f>
        <v>18035.3</v>
      </c>
      <c r="F44" s="22" t="n">
        <f aca="false">(Assumptions!$B$64+Assumptions!$B$65*$B$4)*(1+Assumptions!$B$46)^3</f>
        <v>18576.359</v>
      </c>
      <c r="G44" s="22" t="n">
        <f aca="false">(Assumptions!$B$64+Assumptions!$B$65*$B$4)*(1+Assumptions!$B$46)^4</f>
        <v>19133.64977</v>
      </c>
    </row>
    <row r="45" customFormat="false" ht="15" hidden="false" customHeight="false" outlineLevel="0" collapsed="false">
      <c r="A45" s="6" t="s">
        <v>243</v>
      </c>
      <c r="C45" s="22" t="n">
        <f aca="false">C27*Assumptions!$B$66</f>
        <v>19776.1424</v>
      </c>
      <c r="D45" s="22" t="n">
        <f aca="false">D27*Assumptions!$C$66</f>
        <v>22130.0854</v>
      </c>
      <c r="E45" s="22" t="n">
        <f aca="false">E27*Assumptions!$D$66</f>
        <v>24621.0050664</v>
      </c>
      <c r="F45" s="22" t="n">
        <f aca="false">F27*Assumptions!$E$66</f>
        <v>24680.602988976</v>
      </c>
      <c r="G45" s="22" t="n">
        <f aca="false">G27*Assumptions!$F$66</f>
        <v>26629.573826645</v>
      </c>
    </row>
    <row r="46" customFormat="false" ht="15" hidden="false" customHeight="false" outlineLevel="0" collapsed="false">
      <c r="A46" s="6" t="s">
        <v>244</v>
      </c>
      <c r="C46" s="22" t="n">
        <f aca="false">C27*Assumptions!$B$67</f>
        <v>8192.97328</v>
      </c>
      <c r="D46" s="22" t="n">
        <f aca="false">D27*Assumptions!$B$67</f>
        <v>12835.449532</v>
      </c>
      <c r="E46" s="22" t="n">
        <f aca="false">E27*Assumptions!$B$67</f>
        <v>15866.86993168</v>
      </c>
      <c r="F46" s="22" t="n">
        <f aca="false">F27*Assumptions!$B$67</f>
        <v>17893.4371670076</v>
      </c>
      <c r="G46" s="22" t="n">
        <f aca="false">G27*Assumptions!$B$67</f>
        <v>19306.4410243176</v>
      </c>
    </row>
    <row r="47" customFormat="false" ht="15" hidden="false" customHeight="false" outlineLevel="0" collapsed="false">
      <c r="A47" s="6" t="s">
        <v>245</v>
      </c>
      <c r="C47" s="22" t="n">
        <f aca="false">C27*Assumptions!$B$68</f>
        <v>4237.7448</v>
      </c>
      <c r="D47" s="22" t="n">
        <f aca="false">D27*Assumptions!$B$68</f>
        <v>6639.02562</v>
      </c>
      <c r="E47" s="22" t="n">
        <f aca="false">E27*Assumptions!$B$68</f>
        <v>8207.0016888</v>
      </c>
      <c r="F47" s="22" t="n">
        <f aca="false">F27*Assumptions!$B$68</f>
        <v>9255.226120866</v>
      </c>
      <c r="G47" s="22" t="n">
        <f aca="false">G27*Assumptions!$B$68</f>
        <v>9986.09018499186</v>
      </c>
    </row>
    <row r="48" customFormat="false" ht="15" hidden="false" customHeight="false" outlineLevel="0" collapsed="false">
      <c r="A48" s="6" t="s">
        <v>246</v>
      </c>
      <c r="C48" s="22" t="n">
        <f aca="false">C27*Assumptions!$B$69</f>
        <v>4237.7448</v>
      </c>
      <c r="D48" s="22" t="n">
        <f aca="false">D27*Assumptions!$B$69</f>
        <v>6639.02562</v>
      </c>
      <c r="E48" s="22" t="n">
        <f aca="false">E27*Assumptions!$B$69</f>
        <v>8207.0016888</v>
      </c>
      <c r="F48" s="22" t="n">
        <f aca="false">F27*Assumptions!$B$69</f>
        <v>9255.226120866</v>
      </c>
      <c r="G48" s="22" t="n">
        <f aca="false">G27*Assumptions!$B$69</f>
        <v>9986.09018499186</v>
      </c>
    </row>
    <row r="49" customFormat="false" ht="15" hidden="false" customHeight="false" outlineLevel="0" collapsed="false">
      <c r="A49" s="6" t="s">
        <v>247</v>
      </c>
      <c r="C49" s="22" t="n">
        <f aca="false">Assumptions!$B$70*(1+Assumptions!$B$46)^0</f>
        <v>21000</v>
      </c>
      <c r="D49" s="22" t="n">
        <f aca="false">Assumptions!$B$70*(1+Assumptions!$B$46)^1</f>
        <v>21630</v>
      </c>
      <c r="E49" s="22" t="n">
        <f aca="false">Assumptions!$B$70*(1+Assumptions!$B$46)^2</f>
        <v>22278.9</v>
      </c>
      <c r="F49" s="22" t="n">
        <f aca="false">Assumptions!$B$70*(1+Assumptions!$B$46)^3</f>
        <v>22947.267</v>
      </c>
      <c r="G49" s="22" t="n">
        <f aca="false">Assumptions!$B$70*(1+Assumptions!$B$46)^4</f>
        <v>23635.68501</v>
      </c>
    </row>
    <row r="51" customFormat="false" ht="15" hidden="false" customHeight="false" outlineLevel="0" collapsed="false">
      <c r="A51" s="12" t="s">
        <v>248</v>
      </c>
      <c r="B51" s="13"/>
      <c r="C51" s="13"/>
      <c r="D51" s="13"/>
      <c r="E51" s="13"/>
      <c r="F51" s="13"/>
      <c r="G51" s="13"/>
      <c r="H51" s="13"/>
    </row>
    <row r="52" customFormat="false" ht="15" hidden="false" customHeight="false" outlineLevel="0" collapsed="false">
      <c r="A52" s="3" t="s">
        <v>249</v>
      </c>
      <c r="C52" s="30" t="n">
        <f aca="false">C34-C40</f>
        <v>-170382.72528</v>
      </c>
      <c r="D52" s="30" t="n">
        <f aca="false">D34-D40</f>
        <v>-79514.2224920001</v>
      </c>
      <c r="E52" s="30" t="n">
        <f aca="false">E34-E40</f>
        <v>-25241.1802796801</v>
      </c>
      <c r="F52" s="30" t="n">
        <f aca="false">F34-F40</f>
        <v>20137.4024891644</v>
      </c>
      <c r="G52" s="30" t="n">
        <f aca="false">G34-G40</f>
        <v>43401.0867094001</v>
      </c>
    </row>
    <row r="53" customFormat="false" ht="15" hidden="false" customHeight="false" outlineLevel="0" collapsed="false">
      <c r="A53" s="6" t="s">
        <v>250</v>
      </c>
      <c r="C53" s="28" t="n">
        <f aca="false">IF(C27=0,0,C52/C27)</f>
        <v>-0.603089850809327</v>
      </c>
      <c r="D53" s="28" t="n">
        <f aca="false">IF(D27=0,0,D52/D27)</f>
        <v>-0.179651865446484</v>
      </c>
      <c r="E53" s="28" t="n">
        <f aca="false">IF(E27=0,0,E52/E27)</f>
        <v>-0.046133498999019</v>
      </c>
      <c r="F53" s="28" t="n">
        <f aca="false">IF(F27=0,0,F52/F27)</f>
        <v>0.0326368079388646</v>
      </c>
      <c r="G53" s="28" t="n">
        <f aca="false">IF(G27=0,0,G52/G27)</f>
        <v>0.0651923113632016</v>
      </c>
    </row>
    <row r="54" customFormat="false" ht="15" hidden="false" customHeight="false" outlineLevel="0" collapsed="false">
      <c r="A54" s="6" t="s">
        <v>251</v>
      </c>
      <c r="C54" s="22" t="n">
        <f aca="false">Startup!C$32/Assumptions!$B$76</f>
        <v>88864.2857142857</v>
      </c>
      <c r="D54" s="22" t="n">
        <f aca="false">Startup!C$32/Assumptions!$B$76</f>
        <v>88864.2857142857</v>
      </c>
      <c r="E54" s="22" t="n">
        <f aca="false">Startup!C$32/Assumptions!$B$76</f>
        <v>88864.2857142857</v>
      </c>
      <c r="F54" s="22" t="n">
        <f aca="false">Startup!C$32/Assumptions!$B$76</f>
        <v>88864.2857142857</v>
      </c>
      <c r="G54" s="22" t="n">
        <f aca="false">Startup!C$32/Assumptions!$B$76</f>
        <v>88864.2857142857</v>
      </c>
    </row>
    <row r="55" customFormat="false" ht="15" hidden="false" customHeight="false" outlineLevel="0" collapsed="false">
      <c r="A55" s="6" t="s">
        <v>252</v>
      </c>
      <c r="C55" s="22" t="n">
        <f aca="false">-IPMT(Assumptions!$B$74,1,Assumptions!$B$75,Startup!C$30)</f>
        <v>62838.10573648</v>
      </c>
      <c r="D55" s="22" t="n">
        <f aca="false">-IPMT(Assumptions!$B$74,2,Assumptions!$B$75,Startup!C$30)</f>
        <v>58942.3126086316</v>
      </c>
      <c r="E55" s="22" t="n">
        <f aca="false">-IPMT(Assumptions!$B$74,3,Assumptions!$B$75,Startup!C$30)</f>
        <v>54647.2006851787</v>
      </c>
      <c r="F55" s="22" t="n">
        <f aca="false">-IPMT(Assumptions!$B$74,4,Assumptions!$B$75,Startup!C$30)</f>
        <v>49911.8397895719</v>
      </c>
      <c r="G55" s="22" t="n">
        <f aca="false">-IPMT(Assumptions!$B$74,5,Assumptions!$B$75,Startup!C$30)</f>
        <v>44691.1044021654</v>
      </c>
    </row>
    <row r="56" customFormat="false" ht="15" hidden="false" customHeight="false" outlineLevel="0" collapsed="false">
      <c r="A56" s="3" t="s">
        <v>253</v>
      </c>
      <c r="C56" s="23" t="n">
        <f aca="false">C52-C54-C55</f>
        <v>-322085.116730766</v>
      </c>
      <c r="D56" s="23" t="n">
        <f aca="false">D52-D54-D55</f>
        <v>-227320.820814917</v>
      </c>
      <c r="E56" s="23" t="n">
        <f aca="false">E52-E54-E55</f>
        <v>-168752.666679145</v>
      </c>
      <c r="F56" s="23" t="n">
        <f aca="false">F52-F54-F55</f>
        <v>-118638.723014693</v>
      </c>
      <c r="G56" s="23" t="n">
        <f aca="false">G52-G54-G55</f>
        <v>-90154.303407051</v>
      </c>
    </row>
    <row r="57" customFormat="false" ht="15" hidden="false" customHeight="false" outlineLevel="0" collapsed="false">
      <c r="A57" s="6" t="s">
        <v>254</v>
      </c>
      <c r="C57" s="22" t="n">
        <f aca="false">MAX(0,C56)*Assumptions!$B$77</f>
        <v>0</v>
      </c>
      <c r="D57" s="22" t="n">
        <f aca="false">MAX(0,D56)*Assumptions!$B$77</f>
        <v>0</v>
      </c>
      <c r="E57" s="22" t="n">
        <f aca="false">MAX(0,E56)*Assumptions!$B$77</f>
        <v>0</v>
      </c>
      <c r="F57" s="22" t="n">
        <f aca="false">MAX(0,F56)*Assumptions!$B$77</f>
        <v>0</v>
      </c>
      <c r="G57" s="22" t="n">
        <f aca="false">MAX(0,G56)*Assumptions!$B$77</f>
        <v>0</v>
      </c>
    </row>
    <row r="58" customFormat="false" ht="15" hidden="false" customHeight="false" outlineLevel="0" collapsed="false">
      <c r="A58" s="3" t="s">
        <v>255</v>
      </c>
      <c r="C58" s="30" t="n">
        <f aca="false">C56-C57</f>
        <v>-322085.116730766</v>
      </c>
      <c r="D58" s="30" t="n">
        <f aca="false">D56-D57</f>
        <v>-227320.820814917</v>
      </c>
      <c r="E58" s="30" t="n">
        <f aca="false">E56-E57</f>
        <v>-168752.666679145</v>
      </c>
      <c r="F58" s="30" t="n">
        <f aca="false">F56-F57</f>
        <v>-118638.723014693</v>
      </c>
      <c r="G58" s="30" t="n">
        <f aca="false">G56-G57</f>
        <v>-90154.303407051</v>
      </c>
    </row>
    <row r="60" customFormat="false" ht="15" hidden="false" customHeight="false" outlineLevel="0" collapsed="false">
      <c r="A60" s="12" t="s">
        <v>256</v>
      </c>
      <c r="B60" s="13"/>
      <c r="C60" s="13"/>
      <c r="D60" s="13"/>
      <c r="E60" s="13"/>
      <c r="F60" s="13"/>
      <c r="G60" s="13"/>
      <c r="H60" s="13"/>
    </row>
    <row r="61" customFormat="false" ht="15" hidden="false" customHeight="false" outlineLevel="0" collapsed="false">
      <c r="A61" s="6" t="s">
        <v>249</v>
      </c>
      <c r="C61" s="22" t="n">
        <f aca="false">C52</f>
        <v>-170382.72528</v>
      </c>
      <c r="D61" s="22" t="n">
        <f aca="false">D52</f>
        <v>-79514.2224920001</v>
      </c>
      <c r="E61" s="22" t="n">
        <f aca="false">E52</f>
        <v>-25241.1802796801</v>
      </c>
      <c r="F61" s="22" t="n">
        <f aca="false">F52</f>
        <v>20137.4024891644</v>
      </c>
      <c r="G61" s="22" t="n">
        <f aca="false">G52</f>
        <v>43401.0867094001</v>
      </c>
    </row>
    <row r="62" customFormat="false" ht="15" hidden="false" customHeight="false" outlineLevel="0" collapsed="false">
      <c r="A62" s="6" t="s">
        <v>257</v>
      </c>
      <c r="C62" s="22" t="n">
        <f aca="false">-Startup!C$31</f>
        <v>-100845.843569148</v>
      </c>
      <c r="D62" s="22" t="n">
        <f aca="false">-Startup!C$31</f>
        <v>-100845.843569148</v>
      </c>
      <c r="E62" s="22" t="n">
        <f aca="false">-Startup!C$31</f>
        <v>-100845.843569148</v>
      </c>
      <c r="F62" s="22" t="n">
        <f aca="false">-Startup!C$31</f>
        <v>-100845.843569148</v>
      </c>
      <c r="G62" s="22" t="n">
        <f aca="false">-Startup!C$31</f>
        <v>-100845.843569148</v>
      </c>
    </row>
    <row r="63" customFormat="false" ht="15" hidden="false" customHeight="false" outlineLevel="0" collapsed="false">
      <c r="A63" s="6" t="s">
        <v>258</v>
      </c>
      <c r="C63" s="22" t="n">
        <f aca="false">-C57</f>
        <v>-0</v>
      </c>
      <c r="D63" s="22" t="n">
        <f aca="false">-D57</f>
        <v>-0</v>
      </c>
      <c r="E63" s="22" t="n">
        <f aca="false">-E57</f>
        <v>-0</v>
      </c>
      <c r="F63" s="22" t="n">
        <f aca="false">-F57</f>
        <v>-0</v>
      </c>
      <c r="G63" s="22" t="n">
        <f aca="false">-G57</f>
        <v>-0</v>
      </c>
    </row>
    <row r="64" customFormat="false" ht="15" hidden="false" customHeight="false" outlineLevel="0" collapsed="false">
      <c r="A64" s="6" t="s">
        <v>259</v>
      </c>
      <c r="C64" s="22" t="n">
        <f aca="false">-C27*0.02</f>
        <v>-5650.3264</v>
      </c>
      <c r="D64" s="22" t="n">
        <f aca="false">-D27*0.02</f>
        <v>-8852.03416</v>
      </c>
      <c r="E64" s="22" t="n">
        <f aca="false">-E27*0.02</f>
        <v>-10942.6689184</v>
      </c>
      <c r="F64" s="22" t="n">
        <f aca="false">-F27*0.02</f>
        <v>-12340.301494488</v>
      </c>
      <c r="G64" s="22" t="n">
        <f aca="false">-G27*0.02</f>
        <v>-13314.7869133225</v>
      </c>
      <c r="H64" s="2" t="s">
        <v>260</v>
      </c>
    </row>
    <row r="65" customFormat="false" ht="15" hidden="false" customHeight="false" outlineLevel="0" collapsed="false">
      <c r="A65" s="3" t="s">
        <v>261</v>
      </c>
      <c r="C65" s="23" t="n">
        <f aca="false">SUM(C61:C64)</f>
        <v>-276878.895249148</v>
      </c>
      <c r="D65" s="23" t="n">
        <f aca="false">SUM(D61:D64)</f>
        <v>-189212.100221148</v>
      </c>
      <c r="E65" s="23" t="n">
        <f aca="false">SUM(E61:E64)</f>
        <v>-137029.692767228</v>
      </c>
      <c r="F65" s="23" t="n">
        <f aca="false">SUM(F61:F64)</f>
        <v>-93048.7425744711</v>
      </c>
      <c r="G65" s="23" t="n">
        <f aca="false">SUM(G61:G64)</f>
        <v>-70759.54377307</v>
      </c>
    </row>
    <row r="66" customFormat="false" ht="15" hidden="false" customHeight="false" outlineLevel="0" collapsed="false">
      <c r="A66" s="6" t="s">
        <v>262</v>
      </c>
      <c r="C66" s="22" t="n">
        <f aca="false">C65</f>
        <v>-276878.895249148</v>
      </c>
      <c r="D66" s="22" t="n">
        <f aca="false">C66+D65</f>
        <v>-466090.995470295</v>
      </c>
      <c r="E66" s="22" t="n">
        <f aca="false">D66+E65</f>
        <v>-603120.688237523</v>
      </c>
      <c r="F66" s="22" t="n">
        <f aca="false">E66+F65</f>
        <v>-696169.430811994</v>
      </c>
      <c r="G66" s="22" t="n">
        <f aca="false">F66+G65</f>
        <v>-766928.974585064</v>
      </c>
    </row>
    <row r="67" customFormat="false" ht="15" hidden="false" customHeight="false" outlineLevel="0" collapsed="false">
      <c r="A67" s="6" t="s">
        <v>263</v>
      </c>
      <c r="C67" s="31" t="n">
        <f aca="false">IF(Startup!C$31=0,0,(C61+C63+C64)/Startup!C$31)</f>
        <v>-1.74556576106479</v>
      </c>
      <c r="D67" s="31" t="n">
        <f aca="false">IF(Startup!C$31=0,0,(D61+D63+D64)/Startup!C$31)</f>
        <v>-0.876250855013271</v>
      </c>
      <c r="E67" s="31" t="n">
        <f aca="false">IF(Startup!C$31=0,0,(E61+E63+E64)/Startup!C$31)</f>
        <v>-0.35880357501566</v>
      </c>
      <c r="F67" s="31" t="n">
        <f aca="false">IF(Startup!C$31=0,0,(F61+F63+F64)/Startup!C$31)</f>
        <v>0.0773170288305452</v>
      </c>
      <c r="G67" s="31" t="n">
        <f aca="false">IF(Startup!C$31=0,0,(G61+G63+G64)/Startup!C$31)</f>
        <v>0.298339512381074</v>
      </c>
      <c r="H67" s="2" t="s">
        <v>264</v>
      </c>
    </row>
    <row r="68" customFormat="false" ht="15" hidden="false" customHeight="false" outlineLevel="0" collapsed="false">
      <c r="A68" s="6" t="s">
        <v>265</v>
      </c>
      <c r="C68" s="22" t="n">
        <f aca="false">C27/$B$4</f>
        <v>141258.16</v>
      </c>
      <c r="D68" s="22" t="n">
        <f aca="false">D27/$B$4</f>
        <v>221300.854</v>
      </c>
      <c r="E68" s="22" t="n">
        <f aca="false">E27/$B$4</f>
        <v>273566.72296</v>
      </c>
      <c r="F68" s="22" t="n">
        <f aca="false">F27/$B$4</f>
        <v>308507.5373622</v>
      </c>
      <c r="G68" s="22" t="n">
        <f aca="false">G27/$B$4</f>
        <v>332869.672833062</v>
      </c>
    </row>
    <row r="69" customFormat="false" ht="15" hidden="false" customHeight="false" outlineLevel="0" collapsed="false">
      <c r="A69" s="6" t="s">
        <v>266</v>
      </c>
      <c r="C69" s="28" t="n">
        <f aca="false">IF(C27=0,0,C24/C27)</f>
        <v>0.231660953250418</v>
      </c>
      <c r="D69" s="28" t="n">
        <f aca="false">IF(D27=0,0,D24/D27)</f>
        <v>0.254186999206067</v>
      </c>
      <c r="E69" s="28" t="n">
        <f aca="false">IF(E27=0,0,E24/E27)</f>
        <v>0.261955018595146</v>
      </c>
      <c r="F69" s="28" t="n">
        <f aca="false">IF(F27=0,0,F24/F27)</f>
        <v>0.253993491082857</v>
      </c>
      <c r="G69" s="28" t="n">
        <f aca="false">IF(G27=0,0,G24/G27)</f>
        <v>0.254539621075941</v>
      </c>
    </row>
    <row r="70" customFormat="false" ht="15" hidden="false" customHeight="false" outlineLevel="0" collapsed="false">
      <c r="A70" s="6" t="s">
        <v>267</v>
      </c>
      <c r="C70" s="28" t="n">
        <f aca="false">IF(C27=0,0,C20/C27)</f>
        <v>0.0239765263826175</v>
      </c>
      <c r="D70" s="28" t="n">
        <f aca="false">IF(D27=0,0,D20/D27)</f>
        <v>0.0295566505134228</v>
      </c>
      <c r="E70" s="28" t="n">
        <f aca="false">IF(E27=0,0,E20/E27)</f>
        <v>0.0328360568961213</v>
      </c>
      <c r="F70" s="28" t="n">
        <f aca="false">IF(F27=0,0,F20/F27)</f>
        <v>0.0337394684103927</v>
      </c>
      <c r="G70" s="28" t="n">
        <f aca="false">IF(G27=0,0,G20/G27)</f>
        <v>0.0337419670021571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1" t="s">
        <v>268</v>
      </c>
    </row>
    <row r="2" customFormat="false" ht="15" hidden="false" customHeight="false" outlineLevel="0" collapsed="false">
      <c r="A2" s="2" t="s">
        <v>199</v>
      </c>
    </row>
    <row r="4" customFormat="false" ht="15" hidden="false" customHeight="false" outlineLevel="0" collapsed="false">
      <c r="A4" s="3" t="s">
        <v>200</v>
      </c>
      <c r="B4" s="8" t="n">
        <f aca="false">Startup!D$5</f>
        <v>3</v>
      </c>
    </row>
    <row r="5" customFormat="false" ht="15" hidden="false" customHeight="false" outlineLevel="0" collapsed="false">
      <c r="A5" s="0" t="s">
        <v>201</v>
      </c>
      <c r="B5" s="25" t="n">
        <f aca="false">$B$4*Assumptions!$B$6*Assumptions!$B$7</f>
        <v>15120</v>
      </c>
    </row>
    <row r="7" customFormat="false" ht="15" hidden="false" customHeight="false" outlineLevel="0" collapsed="false">
      <c r="A7" s="5" t="s">
        <v>202</v>
      </c>
      <c r="B7" s="26"/>
      <c r="C7" s="27" t="s">
        <v>55</v>
      </c>
      <c r="D7" s="27" t="s">
        <v>56</v>
      </c>
      <c r="E7" s="27" t="s">
        <v>57</v>
      </c>
      <c r="F7" s="27" t="s">
        <v>58</v>
      </c>
      <c r="G7" s="27" t="s">
        <v>59</v>
      </c>
      <c r="H7" s="5" t="s">
        <v>203</v>
      </c>
    </row>
    <row r="8" customFormat="false" ht="15" hidden="false" customHeight="false" outlineLevel="0" collapsed="false">
      <c r="A8" s="12" t="s">
        <v>204</v>
      </c>
      <c r="B8" s="13"/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6" t="s">
        <v>205</v>
      </c>
      <c r="C9" s="28" t="n">
        <f aca="false">Assumptions!$B$8</f>
        <v>0.28</v>
      </c>
      <c r="D9" s="28" t="n">
        <f aca="false">Assumptions!$C$8</f>
        <v>0.35</v>
      </c>
      <c r="E9" s="28" t="n">
        <f aca="false">Assumptions!$D$8</f>
        <v>0.4</v>
      </c>
      <c r="F9" s="28" t="n">
        <f aca="false">Assumptions!$E$8</f>
        <v>0.42</v>
      </c>
      <c r="G9" s="28" t="n">
        <f aca="false">Assumptions!$F$8</f>
        <v>0.44</v>
      </c>
    </row>
    <row r="10" customFormat="false" ht="15" hidden="false" customHeight="false" outlineLevel="0" collapsed="false">
      <c r="A10" s="6" t="s">
        <v>206</v>
      </c>
      <c r="C10" s="29" t="n">
        <f aca="false">$B$5*C9</f>
        <v>4233.6</v>
      </c>
      <c r="D10" s="29" t="n">
        <f aca="false">$B$5*D9</f>
        <v>5292</v>
      </c>
      <c r="E10" s="29" t="n">
        <f aca="false">$B$5*E9</f>
        <v>6048</v>
      </c>
      <c r="F10" s="29" t="n">
        <f aca="false">$B$5*F9</f>
        <v>6350.4</v>
      </c>
      <c r="G10" s="29" t="n">
        <f aca="false">$B$5*G9</f>
        <v>6652.8</v>
      </c>
    </row>
    <row r="11" customFormat="false" ht="15" hidden="false" customHeight="false" outlineLevel="0" collapsed="false">
      <c r="A11" s="6" t="s">
        <v>207</v>
      </c>
      <c r="C11" s="29" t="n">
        <f aca="false">C10*Assumptions!$B$9</f>
        <v>1481.76</v>
      </c>
      <c r="D11" s="29" t="n">
        <f aca="false">D10*Assumptions!$B$9</f>
        <v>1852.2</v>
      </c>
      <c r="E11" s="29" t="n">
        <f aca="false">E10*Assumptions!$B$9</f>
        <v>2116.8</v>
      </c>
      <c r="F11" s="29" t="n">
        <f aca="false">F10*Assumptions!$B$9</f>
        <v>2222.64</v>
      </c>
      <c r="G11" s="29" t="n">
        <f aca="false">G10*Assumptions!$B$9</f>
        <v>2328.48</v>
      </c>
    </row>
    <row r="12" customFormat="false" ht="15" hidden="false" customHeight="false" outlineLevel="0" collapsed="false">
      <c r="A12" s="6" t="s">
        <v>208</v>
      </c>
      <c r="C12" s="29" t="n">
        <f aca="false">C10*Assumptions!$B$10</f>
        <v>338.688</v>
      </c>
      <c r="D12" s="29" t="n">
        <f aca="false">D10*Assumptions!$C$10</f>
        <v>635.04</v>
      </c>
      <c r="E12" s="29" t="n">
        <f aca="false">E10*Assumptions!$D$10</f>
        <v>846.72</v>
      </c>
      <c r="F12" s="29" t="n">
        <f aca="false">F10*Assumptions!$E$10</f>
        <v>952.56</v>
      </c>
      <c r="G12" s="29" t="n">
        <f aca="false">G10*Assumptions!$F$10</f>
        <v>997.92</v>
      </c>
    </row>
    <row r="13" customFormat="false" ht="15" hidden="false" customHeight="false" outlineLevel="0" collapsed="false">
      <c r="A13" s="6" t="s">
        <v>209</v>
      </c>
      <c r="C13" s="29" t="n">
        <f aca="false">C10-C11-C12</f>
        <v>2413.152</v>
      </c>
      <c r="D13" s="29" t="n">
        <f aca="false">D10-D11-D12</f>
        <v>2804.76</v>
      </c>
      <c r="E13" s="29" t="n">
        <f aca="false">E10-E11-E12</f>
        <v>3084.48</v>
      </c>
      <c r="F13" s="29" t="n">
        <f aca="false">F10-F11-F12</f>
        <v>3175.2</v>
      </c>
      <c r="G13" s="29" t="n">
        <f aca="false">G10-G11-G12</f>
        <v>3326.4</v>
      </c>
    </row>
    <row r="14" customFormat="false" ht="15" hidden="false" customHeight="false" outlineLevel="0" collapsed="false">
      <c r="A14" s="6" t="s">
        <v>210</v>
      </c>
      <c r="C14" s="29" t="n">
        <f aca="false">Assumptions!$B$16*$B$4</f>
        <v>45</v>
      </c>
      <c r="D14" s="29" t="n">
        <f aca="false">Assumptions!$C$16*$B$4</f>
        <v>66</v>
      </c>
      <c r="E14" s="29" t="n">
        <f aca="false">Assumptions!$D$16*$B$4</f>
        <v>78</v>
      </c>
      <c r="F14" s="29" t="n">
        <f aca="false">Assumptions!$E$16*$B$4</f>
        <v>84</v>
      </c>
      <c r="G14" s="29" t="n">
        <f aca="false">Assumptions!$F$16*$B$4</f>
        <v>87</v>
      </c>
    </row>
    <row r="15" customFormat="false" ht="15" hidden="false" customHeight="false" outlineLevel="0" collapsed="false">
      <c r="A15" s="6" t="s">
        <v>211</v>
      </c>
      <c r="C15" s="29" t="n">
        <f aca="false">(Assumptions!$B$18*$B$4/4+C14)/2</f>
        <v>37.5</v>
      </c>
      <c r="D15" s="29" t="n">
        <f aca="false">(C14+D14)/2</f>
        <v>55.5</v>
      </c>
      <c r="E15" s="29" t="n">
        <f aca="false">(D14+E14)/2</f>
        <v>72</v>
      </c>
      <c r="F15" s="29" t="n">
        <f aca="false">(E14+F14)/2</f>
        <v>81</v>
      </c>
      <c r="G15" s="29" t="n">
        <f aca="false">(F14+G14)/2</f>
        <v>85.5</v>
      </c>
      <c r="H15" s="2" t="s">
        <v>212</v>
      </c>
    </row>
    <row r="17" customFormat="false" ht="15" hidden="false" customHeight="false" outlineLevel="0" collapsed="false">
      <c r="A17" s="12" t="s">
        <v>213</v>
      </c>
      <c r="B17" s="13"/>
      <c r="C17" s="13"/>
      <c r="D17" s="13"/>
      <c r="E17" s="13"/>
      <c r="F17" s="13"/>
      <c r="G17" s="13"/>
      <c r="H17" s="13"/>
    </row>
    <row r="18" customFormat="false" ht="15" hidden="false" customHeight="false" outlineLevel="0" collapsed="false">
      <c r="A18" s="6" t="s">
        <v>214</v>
      </c>
      <c r="C18" s="22" t="n">
        <f aca="false">C13*Assumptions!$B$11*(1+Assumptions!$B$13)^0</f>
        <v>108591.84</v>
      </c>
      <c r="D18" s="22" t="n">
        <f aca="false">D13*Assumptions!$B$11*(1+Assumptions!$B$13)^1</f>
        <v>130000.626</v>
      </c>
      <c r="E18" s="22" t="n">
        <f aca="false">E13*Assumptions!$B$11*(1+Assumptions!$B$13)^2</f>
        <v>147254.61744</v>
      </c>
      <c r="F18" s="22" t="n">
        <f aca="false">F13*Assumptions!$B$11*(1+Assumptions!$B$13)^3</f>
        <v>156133.204668</v>
      </c>
      <c r="G18" s="22" t="n">
        <f aca="false">G13*Assumptions!$B$11*(1+Assumptions!$B$13)^4</f>
        <v>168475.16275128</v>
      </c>
      <c r="H18" s="2" t="s">
        <v>215</v>
      </c>
    </row>
    <row r="19" customFormat="false" ht="15" hidden="false" customHeight="false" outlineLevel="0" collapsed="false">
      <c r="A19" s="6" t="s">
        <v>216</v>
      </c>
      <c r="C19" s="22" t="n">
        <f aca="false">C15*Assumptions!$B$17*12*(1+Assumptions!$B$13)^0</f>
        <v>88875</v>
      </c>
      <c r="D19" s="22" t="n">
        <f aca="false">D15*Assumptions!$B$17*12*(1+Assumptions!$B$13)^1</f>
        <v>135481.05</v>
      </c>
      <c r="E19" s="22" t="n">
        <f aca="false">E15*Assumptions!$B$17*12*(1+Assumptions!$B$13)^2</f>
        <v>181031.976</v>
      </c>
      <c r="F19" s="22" t="n">
        <f aca="false">F15*Assumptions!$B$17*12*(1+Assumptions!$B$13)^3</f>
        <v>209770.80219</v>
      </c>
      <c r="G19" s="22" t="n">
        <f aca="false">G15*Assumptions!$B$17*12*(1+Assumptions!$B$13)^4</f>
        <v>228067.47771435</v>
      </c>
    </row>
    <row r="20" customFormat="false" ht="15" hidden="false" customHeight="false" outlineLevel="0" collapsed="false">
      <c r="A20" s="6" t="s">
        <v>217</v>
      </c>
      <c r="C20" s="22" t="n">
        <f aca="false">C12*Assumptions!$B$12*(1+Assumptions!$B$13)^0</f>
        <v>10160.64</v>
      </c>
      <c r="D20" s="22" t="n">
        <f aca="false">D12*Assumptions!$B$12*(1+Assumptions!$B$13)^1</f>
        <v>19622.736</v>
      </c>
      <c r="E20" s="22" t="n">
        <f aca="false">E12*Assumptions!$B$12*(1+Assumptions!$B$13)^2</f>
        <v>26948.55744</v>
      </c>
      <c r="F20" s="22" t="n">
        <f aca="false">F12*Assumptions!$B$12*(1+Assumptions!$B$13)^3</f>
        <v>31226.6409336</v>
      </c>
      <c r="G20" s="22" t="n">
        <f aca="false">G12*Assumptions!$B$12*(1+Assumptions!$B$13)^4</f>
        <v>33695.032550256</v>
      </c>
      <c r="H20" s="2" t="s">
        <v>218</v>
      </c>
    </row>
    <row r="21" customFormat="false" ht="15" hidden="false" customHeight="false" outlineLevel="0" collapsed="false">
      <c r="A21" s="6" t="s">
        <v>219</v>
      </c>
      <c r="C21" s="22" t="n">
        <f aca="false">Assumptions!$B$22*Assumptions!$B$23*$B$4*Assumptions!$B$24*Assumptions!$B$25*Assumptions!$B$30*(1+Assumptions!$B$13)^0</f>
        <v>29700</v>
      </c>
      <c r="D21" s="22" t="n">
        <f aca="false">Assumptions!$B$22*Assumptions!$B$23*$B$4*Assumptions!$B$24*Assumptions!$B$25*Assumptions!$C$30*(1+Assumptions!$B$13)^1</f>
        <v>47277</v>
      </c>
      <c r="E21" s="22" t="n">
        <f aca="false">Assumptions!$B$22*Assumptions!$B$23*$B$4*Assumptions!$B$24*Assumptions!$B$25*Assumptions!$D$30*(1+Assumptions!$B$13)^2</f>
        <v>57288.6</v>
      </c>
      <c r="F21" s="22" t="n">
        <f aca="false">Assumptions!$B$22*Assumptions!$B$23*$B$4*Assumptions!$B$24*Assumptions!$B$25*Assumptions!$E$30*(1+Assumptions!$B$13)^3</f>
        <v>61957.6209</v>
      </c>
      <c r="G21" s="22" t="n">
        <f aca="false">Assumptions!$B$22*Assumptions!$B$23*$B$4*Assumptions!$B$24*Assumptions!$B$25*Assumptions!$F$30*(1+Assumptions!$B$13)^4</f>
        <v>66855.223314</v>
      </c>
    </row>
    <row r="22" customFormat="false" ht="15" hidden="false" customHeight="false" outlineLevel="0" collapsed="false">
      <c r="A22" s="6" t="s">
        <v>220</v>
      </c>
      <c r="C22" s="22" t="n">
        <f aca="false">Assumptions!$B$26*$B$4*Assumptions!$B$30*(1+Assumptions!$B$13)^0</f>
        <v>49500</v>
      </c>
      <c r="D22" s="22" t="n">
        <f aca="false">Assumptions!$B$26*$B$4*Assumptions!$C$30*(1+Assumptions!$B$13)^1</f>
        <v>78795</v>
      </c>
      <c r="E22" s="22" t="n">
        <f aca="false">Assumptions!$B$26*$B$4*Assumptions!$D$30*(1+Assumptions!$B$13)^2</f>
        <v>95481</v>
      </c>
      <c r="F22" s="22" t="n">
        <f aca="false">Assumptions!$B$26*$B$4*Assumptions!$E$30*(1+Assumptions!$B$13)^3</f>
        <v>103262.7015</v>
      </c>
      <c r="G22" s="22" t="n">
        <f aca="false">Assumptions!$B$26*$B$4*Assumptions!$F$30*(1+Assumptions!$B$13)^4</f>
        <v>111425.37219</v>
      </c>
    </row>
    <row r="23" customFormat="false" ht="15" hidden="false" customHeight="false" outlineLevel="0" collapsed="false">
      <c r="A23" s="6" t="s">
        <v>221</v>
      </c>
      <c r="C23" s="22" t="n">
        <f aca="false">Assumptions!$B$28*$B$4*Assumptions!$B$30*(1+Assumptions!$B$13)^0</f>
        <v>28875</v>
      </c>
      <c r="D23" s="22" t="n">
        <f aca="false">Assumptions!$B$28*$B$4*Assumptions!$C$30*(1+Assumptions!$B$13)^1</f>
        <v>45963.75</v>
      </c>
      <c r="E23" s="22" t="n">
        <f aca="false">Assumptions!$B$28*$B$4*Assumptions!$D$30*(1+Assumptions!$B$13)^2</f>
        <v>55697.25</v>
      </c>
      <c r="F23" s="22" t="n">
        <f aca="false">Assumptions!$B$28*$B$4*Assumptions!$E$30*(1+Assumptions!$B$13)^3</f>
        <v>60236.575875</v>
      </c>
      <c r="G23" s="22" t="n">
        <f aca="false">Assumptions!$B$28*$B$4*Assumptions!$F$30*(1+Assumptions!$B$13)^4</f>
        <v>64998.1337775</v>
      </c>
    </row>
    <row r="24" customFormat="false" ht="15" hidden="false" customHeight="false" outlineLevel="0" collapsed="false">
      <c r="A24" s="6" t="s">
        <v>222</v>
      </c>
      <c r="C24" s="22" t="n">
        <f aca="false">C10*Assumptions!$B$35+C15*Assumptions!$B$36*12*(1+Assumptions!$B$13)^0</f>
        <v>98172</v>
      </c>
      <c r="D24" s="22" t="n">
        <f aca="false">D10*Assumptions!$C$35+D15*Assumptions!$B$36*12*(1+Assumptions!$B$13)^1</f>
        <v>168755.4</v>
      </c>
      <c r="E24" s="22" t="n">
        <f aca="false">E10*Assumptions!$D$35+E15*Assumptions!$B$36*12*(1+Assumptions!$B$13)^2</f>
        <v>214986.528</v>
      </c>
      <c r="F24" s="22" t="n">
        <f aca="false">F10*Assumptions!$E$35+F15*Assumptions!$B$36*12*(1+Assumptions!$B$13)^3</f>
        <v>235076.71932</v>
      </c>
      <c r="G24" s="22" t="n">
        <f aca="false">G10*Assumptions!$F$35+G15*Assumptions!$B$36*12*(1+Assumptions!$B$13)^4</f>
        <v>254185.5611718</v>
      </c>
      <c r="H24" s="2" t="s">
        <v>223</v>
      </c>
    </row>
    <row r="25" customFormat="false" ht="15" hidden="false" customHeight="false" outlineLevel="0" collapsed="false">
      <c r="A25" s="6" t="s">
        <v>224</v>
      </c>
      <c r="C25" s="22" t="n">
        <f aca="false">Assumptions!$B$29*$B$4*Assumptions!$B$30*(1+Assumptions!$B$13)^0</f>
        <v>9900</v>
      </c>
      <c r="D25" s="22" t="n">
        <f aca="false">Assumptions!$B$29*$B$4*Assumptions!$C$30*(1+Assumptions!$B$13)^1</f>
        <v>15759</v>
      </c>
      <c r="E25" s="22" t="n">
        <f aca="false">Assumptions!$B$29*$B$4*Assumptions!$D$30*(1+Assumptions!$B$13)^2</f>
        <v>19096.2</v>
      </c>
      <c r="F25" s="22" t="n">
        <f aca="false">Assumptions!$B$29*$B$4*Assumptions!$E$30*(1+Assumptions!$B$13)^3</f>
        <v>20652.5403</v>
      </c>
      <c r="G25" s="22" t="n">
        <f aca="false">Assumptions!$B$29*$B$4*Assumptions!$F$30*(1+Assumptions!$B$13)^4</f>
        <v>22285.074438</v>
      </c>
    </row>
    <row r="26" customFormat="false" ht="15" hidden="false" customHeight="false" outlineLevel="0" collapsed="false">
      <c r="A26" s="6" t="s">
        <v>225</v>
      </c>
      <c r="C26" s="22" t="n">
        <f aca="false">Assumptions!$B$31*Assumptions!$B$32*(1+Assumptions!$B$13)^0</f>
        <v>0</v>
      </c>
      <c r="D26" s="22" t="n">
        <f aca="false">Assumptions!$C$31*Assumptions!$B$32*(1+Assumptions!$B$13)^1</f>
        <v>14832</v>
      </c>
      <c r="E26" s="22" t="n">
        <f aca="false">Assumptions!$D$31*Assumptions!$B$32*(1+Assumptions!$B$13)^2</f>
        <v>15276.96</v>
      </c>
      <c r="F26" s="22" t="n">
        <f aca="false">Assumptions!$E$31*Assumptions!$B$32*(1+Assumptions!$B$13)^3</f>
        <v>31470.5376</v>
      </c>
      <c r="G26" s="22" t="n">
        <f aca="false">Assumptions!$F$31*Assumptions!$B$32*(1+Assumptions!$B$13)^4</f>
        <v>32414.653728</v>
      </c>
    </row>
    <row r="27" customFormat="false" ht="15" hidden="false" customHeight="false" outlineLevel="0" collapsed="false">
      <c r="A27" s="3" t="s">
        <v>226</v>
      </c>
      <c r="C27" s="23" t="n">
        <f aca="false">SUM(C18:C26)</f>
        <v>423774.48</v>
      </c>
      <c r="D27" s="23" t="n">
        <f aca="false">SUM(D18:D26)</f>
        <v>656486.562</v>
      </c>
      <c r="E27" s="23" t="n">
        <f aca="false">SUM(E18:E26)</f>
        <v>813061.68888</v>
      </c>
      <c r="F27" s="23" t="n">
        <f aca="false">SUM(F18:F26)</f>
        <v>909787.3432866</v>
      </c>
      <c r="G27" s="23" t="n">
        <f aca="false">SUM(G18:G26)</f>
        <v>982401.691635186</v>
      </c>
    </row>
    <row r="29" customFormat="false" ht="15" hidden="false" customHeight="false" outlineLevel="0" collapsed="false">
      <c r="A29" s="12" t="s">
        <v>227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6" t="s">
        <v>228</v>
      </c>
      <c r="C30" s="22" t="n">
        <f aca="false">C24*Assumptions!$B$37</f>
        <v>33378.48</v>
      </c>
      <c r="D30" s="22" t="n">
        <f aca="false">D24*Assumptions!$B$37</f>
        <v>57376.836</v>
      </c>
      <c r="E30" s="22" t="n">
        <f aca="false">E24*Assumptions!$B$37</f>
        <v>73095.41952</v>
      </c>
      <c r="F30" s="22" t="n">
        <f aca="false">F24*Assumptions!$B$37</f>
        <v>79926.0845688</v>
      </c>
      <c r="G30" s="22" t="n">
        <f aca="false">G24*Assumptions!$B$37</f>
        <v>86423.090798412</v>
      </c>
    </row>
    <row r="31" customFormat="false" ht="15" hidden="false" customHeight="false" outlineLevel="0" collapsed="false">
      <c r="A31" s="6" t="s">
        <v>229</v>
      </c>
      <c r="C31" s="22" t="n">
        <f aca="false">C22*Assumptions!$B$27</f>
        <v>24750</v>
      </c>
      <c r="D31" s="22" t="n">
        <f aca="false">D22*Assumptions!$B$27</f>
        <v>39397.5</v>
      </c>
      <c r="E31" s="22" t="n">
        <f aca="false">E22*Assumptions!$B$27</f>
        <v>47740.5</v>
      </c>
      <c r="F31" s="22" t="n">
        <f aca="false">F22*Assumptions!$B$27</f>
        <v>51631.35075</v>
      </c>
      <c r="G31" s="22" t="n">
        <f aca="false">G22*Assumptions!$B$27</f>
        <v>55712.686095</v>
      </c>
    </row>
    <row r="32" customFormat="false" ht="15" hidden="false" customHeight="false" outlineLevel="0" collapsed="false">
      <c r="A32" s="6" t="s">
        <v>230</v>
      </c>
      <c r="C32" s="22" t="n">
        <f aca="false">C25*Assumptions!$B$38</f>
        <v>5445</v>
      </c>
      <c r="D32" s="22" t="n">
        <f aca="false">D25*Assumptions!$B$38</f>
        <v>8667.45</v>
      </c>
      <c r="E32" s="22" t="n">
        <f aca="false">E25*Assumptions!$B$38</f>
        <v>10502.91</v>
      </c>
      <c r="F32" s="22" t="n">
        <f aca="false">F25*Assumptions!$B$38</f>
        <v>11358.897165</v>
      </c>
      <c r="G32" s="22" t="n">
        <f aca="false">G25*Assumptions!$B$38</f>
        <v>12256.7909409</v>
      </c>
    </row>
    <row r="33" customFormat="false" ht="15" hidden="false" customHeight="false" outlineLevel="0" collapsed="false">
      <c r="A33" s="6" t="s">
        <v>231</v>
      </c>
      <c r="C33" s="22" t="n">
        <f aca="false">C21*Assumptions!$B$39</f>
        <v>2970</v>
      </c>
      <c r="D33" s="22" t="n">
        <f aca="false">D21*Assumptions!$B$39</f>
        <v>4727.7</v>
      </c>
      <c r="E33" s="22" t="n">
        <f aca="false">E21*Assumptions!$B$39</f>
        <v>5728.86</v>
      </c>
      <c r="F33" s="22" t="n">
        <f aca="false">F21*Assumptions!$B$39</f>
        <v>6195.76209</v>
      </c>
      <c r="G33" s="22" t="n">
        <f aca="false">G21*Assumptions!$B$39</f>
        <v>6685.5223314</v>
      </c>
    </row>
    <row r="34" customFormat="false" ht="15" hidden="false" customHeight="false" outlineLevel="0" collapsed="false">
      <c r="A34" s="3" t="s">
        <v>232</v>
      </c>
      <c r="C34" s="23" t="n">
        <f aca="false">C27-SUM(C30:C33)</f>
        <v>357231</v>
      </c>
      <c r="D34" s="23" t="n">
        <f aca="false">D27-SUM(D30:D33)</f>
        <v>546317.076</v>
      </c>
      <c r="E34" s="23" t="n">
        <f aca="false">E27-SUM(E30:E33)</f>
        <v>675993.99936</v>
      </c>
      <c r="F34" s="23" t="n">
        <f aca="false">F27-SUM(F30:F33)</f>
        <v>760675.2487128</v>
      </c>
      <c r="G34" s="23" t="n">
        <f aca="false">G27-SUM(G30:G33)</f>
        <v>821323.601469474</v>
      </c>
    </row>
    <row r="35" customFormat="false" ht="15" hidden="false" customHeight="false" outlineLevel="0" collapsed="false">
      <c r="A35" s="6" t="s">
        <v>233</v>
      </c>
      <c r="C35" s="28" t="n">
        <f aca="false">IF(C27=0,0,C34/C27)</f>
        <v>0.842974310298251</v>
      </c>
      <c r="D35" s="28" t="n">
        <f aca="false">IF(D27=0,0,D34/D27)</f>
        <v>0.832183181839448</v>
      </c>
      <c r="E35" s="28" t="n">
        <f aca="false">IF(E27=0,0,E34/E27)</f>
        <v>0.831417847631203</v>
      </c>
      <c r="F35" s="28" t="n">
        <f aca="false">IF(F27=0,0,F34/F27)</f>
        <v>0.836102254362944</v>
      </c>
      <c r="G35" s="28" t="n">
        <f aca="false">IF(G27=0,0,G34/G27)</f>
        <v>0.836036428339612</v>
      </c>
    </row>
    <row r="37" customFormat="false" ht="15" hidden="false" customHeight="false" outlineLevel="0" collapsed="false">
      <c r="A37" s="12" t="s">
        <v>234</v>
      </c>
      <c r="B37" s="13"/>
      <c r="C37" s="13"/>
      <c r="D37" s="13"/>
      <c r="E37" s="13"/>
      <c r="F37" s="13"/>
      <c r="G37" s="13"/>
      <c r="H37" s="13"/>
    </row>
    <row r="38" customFormat="false" ht="15" hidden="false" customHeight="false" outlineLevel="0" collapsed="false">
      <c r="A38" s="6" t="s">
        <v>235</v>
      </c>
      <c r="C38" s="22" t="n">
        <f aca="false">Startup!D$33*(Assumptions!$B$44+Assumptions!$B$45)*(1+Assumptions!$B$46)^0</f>
        <v>87075</v>
      </c>
      <c r="D38" s="22" t="n">
        <f aca="false">Startup!D$33*(Assumptions!$B$44+Assumptions!$B$45)*(1+Assumptions!$B$46)^1</f>
        <v>89687.25</v>
      </c>
      <c r="E38" s="22" t="n">
        <f aca="false">Startup!D$33*(Assumptions!$B$44+Assumptions!$B$45)*(1+Assumptions!$B$46)^2</f>
        <v>92377.8675</v>
      </c>
      <c r="F38" s="22" t="n">
        <f aca="false">Startup!D$33*(Assumptions!$B$44+Assumptions!$B$45)*(1+Assumptions!$B$46)^3</f>
        <v>95149.203525</v>
      </c>
      <c r="G38" s="22" t="n">
        <f aca="false">Startup!D$33*(Assumptions!$B$44+Assumptions!$B$45)*(1+Assumptions!$B$46)^4</f>
        <v>98003.67963075</v>
      </c>
    </row>
    <row r="39" customFormat="false" ht="15" hidden="false" customHeight="false" outlineLevel="0" collapsed="false">
      <c r="A39" s="6" t="s">
        <v>236</v>
      </c>
      <c r="C39" s="22" t="n">
        <f aca="false">(Assumptions!$B$50+Assumptions!$B$51*(1-Assumptions!$B$52)+Assumptions!$B$53)*(1+Assumptions!$B$58)*(1+Assumptions!$B$59)^0</f>
        <v>155040</v>
      </c>
      <c r="D39" s="22" t="n">
        <f aca="false">(Assumptions!$B$50+Assumptions!$B$51*(1-Assumptions!$B$52)+Assumptions!$B$53)*(1+Assumptions!$B$58)*(1+Assumptions!$B$59)^1</f>
        <v>159691.2</v>
      </c>
      <c r="E39" s="22" t="n">
        <f aca="false">(Assumptions!$B$50+Assumptions!$B$51*(1-Assumptions!$B$52)+Assumptions!$B$53)*(1+Assumptions!$B$58)*(1+Assumptions!$B$59)^2</f>
        <v>164481.936</v>
      </c>
      <c r="F39" s="22" t="n">
        <f aca="false">(Assumptions!$B$50+Assumptions!$B$51*(1-Assumptions!$B$52)+Assumptions!$B$53)*(1+Assumptions!$B$58)*(1+Assumptions!$B$59)^3</f>
        <v>169416.39408</v>
      </c>
      <c r="G39" s="22" t="n">
        <f aca="false">(Assumptions!$B$50+Assumptions!$B$51*(1-Assumptions!$B$52)+Assumptions!$B$53)*(1+Assumptions!$B$58)*(1+Assumptions!$B$59)^4</f>
        <v>174498.8859024</v>
      </c>
    </row>
    <row r="40" customFormat="false" ht="15" hidden="false" customHeight="false" outlineLevel="0" collapsed="false">
      <c r="A40" s="3" t="s">
        <v>237</v>
      </c>
      <c r="C40" s="23" t="n">
        <f aca="false">SUM(C38:C39)+SUM(C41:C49)</f>
        <v>482839.98792</v>
      </c>
      <c r="D40" s="23" t="n">
        <f aca="false">SUM(D38:D39)+SUM(D41:D49)</f>
        <v>535600.797138</v>
      </c>
      <c r="E40" s="23" t="n">
        <f aca="false">SUM(E38:E39)+SUM(E41:E49)</f>
        <v>578165.12648952</v>
      </c>
      <c r="F40" s="23" t="n">
        <f aca="false">SUM(F38:F39)+SUM(F41:F49)</f>
        <v>597943.859156753</v>
      </c>
      <c r="G40" s="23" t="n">
        <f aca="false">SUM(G38:G39)+SUM(G41:G49)</f>
        <v>619828.927008405</v>
      </c>
      <c r="H40" s="2" t="s">
        <v>238</v>
      </c>
    </row>
    <row r="41" customFormat="false" ht="15" hidden="false" customHeight="false" outlineLevel="0" collapsed="false">
      <c r="A41" s="6" t="s">
        <v>239</v>
      </c>
      <c r="C41" s="22" t="n">
        <f aca="false">(Assumptions!$B$55+Assumptions!$B$54*$B$4)*52*Assumptions!$B$56*(1+Assumptions!$B$58)*(1+Assumptions!$B$59)^0*Assumptions!$B$57</f>
        <v>114395.58</v>
      </c>
      <c r="D41" s="22" t="n">
        <f aca="false">(Assumptions!$B$55+Assumptions!$B$54*$B$4)*52*Assumptions!$B$56*(1+Assumptions!$B$58)*(1+Assumptions!$B$59)^1*Assumptions!$C$57</f>
        <v>141392.93688</v>
      </c>
      <c r="E41" s="22" t="n">
        <f aca="false">(Assumptions!$B$55+Assumptions!$B$54*$B$4)*52*Assumptions!$B$56*(1+Assumptions!$B$58)*(1+Assumptions!$B$59)^2*Assumptions!$D$57</f>
        <v>161816.361096</v>
      </c>
      <c r="F41" s="22" t="n">
        <f aca="false">(Assumptions!$B$55+Assumptions!$B$54*$B$4)*52*Assumptions!$B$56*(1+Assumptions!$B$58)*(1+Assumptions!$B$59)^3*Assumptions!$E$57</f>
        <v>166670.85192888</v>
      </c>
      <c r="G41" s="22" t="n">
        <f aca="false">(Assumptions!$B$55+Assumptions!$B$54*$B$4)*52*Assumptions!$B$56*(1+Assumptions!$B$58)*(1+Assumptions!$B$59)^4*Assumptions!$F$57</f>
        <v>171670.977486746</v>
      </c>
    </row>
    <row r="42" customFormat="false" ht="15" hidden="false" customHeight="false" outlineLevel="0" collapsed="false">
      <c r="A42" s="6" t="s">
        <v>240</v>
      </c>
      <c r="C42" s="22" t="n">
        <f aca="false">Assumptions!$B$62*$B$4+Assumptions!$B$63</f>
        <v>18000</v>
      </c>
      <c r="D42" s="22" t="n">
        <f aca="false">Assumptions!$B$62*$B$4+Assumptions!$B$63</f>
        <v>18000</v>
      </c>
      <c r="E42" s="22" t="n">
        <f aca="false">Assumptions!$B$62*$B$4+Assumptions!$B$63</f>
        <v>18000</v>
      </c>
      <c r="F42" s="22" t="n">
        <f aca="false">Assumptions!$B$62*$B$4+Assumptions!$B$63</f>
        <v>18000</v>
      </c>
      <c r="G42" s="22" t="n">
        <f aca="false">Assumptions!$B$62*$B$4+Assumptions!$B$63</f>
        <v>18000</v>
      </c>
    </row>
    <row r="43" customFormat="false" ht="15" hidden="false" customHeight="false" outlineLevel="0" collapsed="false">
      <c r="A43" s="6" t="s">
        <v>241</v>
      </c>
      <c r="C43" s="22" t="n">
        <f aca="false">Startup!D$33*Assumptions!$B$47*(1+Assumptions!$B$46)^0</f>
        <v>13162.5</v>
      </c>
      <c r="D43" s="22" t="n">
        <f aca="false">Startup!D$33*Assumptions!$B$47*(1+Assumptions!$B$46)^1</f>
        <v>13557.375</v>
      </c>
      <c r="E43" s="22" t="n">
        <f aca="false">Startup!D$33*Assumptions!$B$47*(1+Assumptions!$B$46)^2</f>
        <v>13964.09625</v>
      </c>
      <c r="F43" s="22" t="n">
        <f aca="false">Startup!D$33*Assumptions!$B$47*(1+Assumptions!$B$46)^3</f>
        <v>14383.0191375</v>
      </c>
      <c r="G43" s="22" t="n">
        <f aca="false">Startup!D$33*Assumptions!$B$47*(1+Assumptions!$B$46)^4</f>
        <v>14814.509711625</v>
      </c>
    </row>
    <row r="44" customFormat="false" ht="15" hidden="false" customHeight="false" outlineLevel="0" collapsed="false">
      <c r="A44" s="6" t="s">
        <v>242</v>
      </c>
      <c r="C44" s="22" t="n">
        <f aca="false">(Assumptions!$B$64+Assumptions!$B$65*$B$4)*(1+Assumptions!$B$46)^0</f>
        <v>19500</v>
      </c>
      <c r="D44" s="22" t="n">
        <f aca="false">(Assumptions!$B$64+Assumptions!$B$65*$B$4)*(1+Assumptions!$B$46)^1</f>
        <v>20085</v>
      </c>
      <c r="E44" s="22" t="n">
        <f aca="false">(Assumptions!$B$64+Assumptions!$B$65*$B$4)*(1+Assumptions!$B$46)^2</f>
        <v>20687.55</v>
      </c>
      <c r="F44" s="22" t="n">
        <f aca="false">(Assumptions!$B$64+Assumptions!$B$65*$B$4)*(1+Assumptions!$B$46)^3</f>
        <v>21308.1765</v>
      </c>
      <c r="G44" s="22" t="n">
        <f aca="false">(Assumptions!$B$64+Assumptions!$B$65*$B$4)*(1+Assumptions!$B$46)^4</f>
        <v>21947.421795</v>
      </c>
    </row>
    <row r="45" customFormat="false" ht="15" hidden="false" customHeight="false" outlineLevel="0" collapsed="false">
      <c r="A45" s="6" t="s">
        <v>243</v>
      </c>
      <c r="C45" s="22" t="n">
        <f aca="false">C27*Assumptions!$B$66</f>
        <v>29664.2136</v>
      </c>
      <c r="D45" s="22" t="n">
        <f aca="false">D27*Assumptions!$C$66</f>
        <v>32824.3281</v>
      </c>
      <c r="E45" s="22" t="n">
        <f aca="false">E27*Assumptions!$D$66</f>
        <v>36587.7759996</v>
      </c>
      <c r="F45" s="22" t="n">
        <f aca="false">F27*Assumptions!$E$66</f>
        <v>36391.493731464</v>
      </c>
      <c r="G45" s="22" t="n">
        <f aca="false">G27*Assumptions!$F$66</f>
        <v>39296.0676654074</v>
      </c>
    </row>
    <row r="46" customFormat="false" ht="15" hidden="false" customHeight="false" outlineLevel="0" collapsed="false">
      <c r="A46" s="6" t="s">
        <v>244</v>
      </c>
      <c r="C46" s="22" t="n">
        <f aca="false">C27*Assumptions!$B$67</f>
        <v>12289.45992</v>
      </c>
      <c r="D46" s="22" t="n">
        <f aca="false">D27*Assumptions!$B$67</f>
        <v>19038.110298</v>
      </c>
      <c r="E46" s="22" t="n">
        <f aca="false">E27*Assumptions!$B$67</f>
        <v>23578.78897752</v>
      </c>
      <c r="F46" s="22" t="n">
        <f aca="false">F27*Assumptions!$B$67</f>
        <v>26383.8329553114</v>
      </c>
      <c r="G46" s="22" t="n">
        <f aca="false">G27*Assumptions!$B$67</f>
        <v>28489.6490574204</v>
      </c>
    </row>
    <row r="47" customFormat="false" ht="15" hidden="false" customHeight="false" outlineLevel="0" collapsed="false">
      <c r="A47" s="6" t="s">
        <v>245</v>
      </c>
      <c r="C47" s="22" t="n">
        <f aca="false">C27*Assumptions!$B$68</f>
        <v>6356.6172</v>
      </c>
      <c r="D47" s="22" t="n">
        <f aca="false">D27*Assumptions!$B$68</f>
        <v>9847.29843</v>
      </c>
      <c r="E47" s="22" t="n">
        <f aca="false">E27*Assumptions!$B$68</f>
        <v>12195.9253332</v>
      </c>
      <c r="F47" s="22" t="n">
        <f aca="false">F27*Assumptions!$B$68</f>
        <v>13646.810149299</v>
      </c>
      <c r="G47" s="22" t="n">
        <f aca="false">G27*Assumptions!$B$68</f>
        <v>14736.0253745278</v>
      </c>
    </row>
    <row r="48" customFormat="false" ht="15" hidden="false" customHeight="false" outlineLevel="0" collapsed="false">
      <c r="A48" s="6" t="s">
        <v>246</v>
      </c>
      <c r="C48" s="22" t="n">
        <f aca="false">C27*Assumptions!$B$69</f>
        <v>6356.6172</v>
      </c>
      <c r="D48" s="22" t="n">
        <f aca="false">D27*Assumptions!$B$69</f>
        <v>9847.29843</v>
      </c>
      <c r="E48" s="22" t="n">
        <f aca="false">E27*Assumptions!$B$69</f>
        <v>12195.9253332</v>
      </c>
      <c r="F48" s="22" t="n">
        <f aca="false">F27*Assumptions!$B$69</f>
        <v>13646.810149299</v>
      </c>
      <c r="G48" s="22" t="n">
        <f aca="false">G27*Assumptions!$B$69</f>
        <v>14736.0253745278</v>
      </c>
    </row>
    <row r="49" customFormat="false" ht="15" hidden="false" customHeight="false" outlineLevel="0" collapsed="false">
      <c r="A49" s="6" t="s">
        <v>247</v>
      </c>
      <c r="C49" s="22" t="n">
        <f aca="false">Assumptions!$B$70*(1+Assumptions!$B$46)^0</f>
        <v>21000</v>
      </c>
      <c r="D49" s="22" t="n">
        <f aca="false">Assumptions!$B$70*(1+Assumptions!$B$46)^1</f>
        <v>21630</v>
      </c>
      <c r="E49" s="22" t="n">
        <f aca="false">Assumptions!$B$70*(1+Assumptions!$B$46)^2</f>
        <v>22278.9</v>
      </c>
      <c r="F49" s="22" t="n">
        <f aca="false">Assumptions!$B$70*(1+Assumptions!$B$46)^3</f>
        <v>22947.267</v>
      </c>
      <c r="G49" s="22" t="n">
        <f aca="false">Assumptions!$B$70*(1+Assumptions!$B$46)^4</f>
        <v>23635.68501</v>
      </c>
    </row>
    <row r="51" customFormat="false" ht="15" hidden="false" customHeight="false" outlineLevel="0" collapsed="false">
      <c r="A51" s="12" t="s">
        <v>248</v>
      </c>
      <c r="B51" s="13"/>
      <c r="C51" s="13"/>
      <c r="D51" s="13"/>
      <c r="E51" s="13"/>
      <c r="F51" s="13"/>
      <c r="G51" s="13"/>
      <c r="H51" s="13"/>
    </row>
    <row r="52" customFormat="false" ht="15" hidden="false" customHeight="false" outlineLevel="0" collapsed="false">
      <c r="A52" s="3" t="s">
        <v>249</v>
      </c>
      <c r="C52" s="30" t="n">
        <f aca="false">C34-C40</f>
        <v>-125608.98792</v>
      </c>
      <c r="D52" s="30" t="n">
        <f aca="false">D34-D40</f>
        <v>10716.278862</v>
      </c>
      <c r="E52" s="30" t="n">
        <f aca="false">E34-E40</f>
        <v>97828.8728704799</v>
      </c>
      <c r="F52" s="30" t="n">
        <f aca="false">F34-F40</f>
        <v>162731.389556047</v>
      </c>
      <c r="G52" s="30" t="n">
        <f aca="false">G34-G40</f>
        <v>201494.674461069</v>
      </c>
    </row>
    <row r="53" customFormat="false" ht="15" hidden="false" customHeight="false" outlineLevel="0" collapsed="false">
      <c r="A53" s="6" t="s">
        <v>250</v>
      </c>
      <c r="C53" s="28" t="n">
        <f aca="false">IF(C27=0,0,C52/C27)</f>
        <v>-0.296405267065634</v>
      </c>
      <c r="D53" s="28" t="n">
        <f aca="false">IF(D27=0,0,D52/D27)</f>
        <v>0.0163236835029077</v>
      </c>
      <c r="E53" s="28" t="n">
        <f aca="false">IF(E27=0,0,E52/E27)</f>
        <v>0.120321587166701</v>
      </c>
      <c r="F53" s="28" t="n">
        <f aca="false">IF(F27=0,0,F52/F27)</f>
        <v>0.178867502122178</v>
      </c>
      <c r="G53" s="28" t="n">
        <f aca="false">IF(G27=0,0,G52/G27)</f>
        <v>0.205104160728475</v>
      </c>
    </row>
    <row r="54" customFormat="false" ht="15" hidden="false" customHeight="false" outlineLevel="0" collapsed="false">
      <c r="A54" s="6" t="s">
        <v>251</v>
      </c>
      <c r="C54" s="22" t="n">
        <f aca="false">Startup!D$32/Assumptions!$B$76</f>
        <v>105560.714285714</v>
      </c>
      <c r="D54" s="22" t="n">
        <f aca="false">Startup!D$32/Assumptions!$B$76</f>
        <v>105560.714285714</v>
      </c>
      <c r="E54" s="22" t="n">
        <f aca="false">Startup!D$32/Assumptions!$B$76</f>
        <v>105560.714285714</v>
      </c>
      <c r="F54" s="22" t="n">
        <f aca="false">Startup!D$32/Assumptions!$B$76</f>
        <v>105560.714285714</v>
      </c>
      <c r="G54" s="22" t="n">
        <f aca="false">Startup!D$32/Assumptions!$B$76</f>
        <v>105560.714285714</v>
      </c>
    </row>
    <row r="55" customFormat="false" ht="15" hidden="false" customHeight="false" outlineLevel="0" collapsed="false">
      <c r="A55" s="6" t="s">
        <v>252</v>
      </c>
      <c r="C55" s="22" t="n">
        <f aca="false">-IPMT(Assumptions!$B$74,1,Assumptions!$B$75,Startup!D$30)</f>
        <v>73008.28950472</v>
      </c>
      <c r="D55" s="22" t="n">
        <f aca="false">-IPMT(Assumptions!$B$74,2,Assumptions!$B$75,Startup!D$30)</f>
        <v>68481.9724046911</v>
      </c>
      <c r="E55" s="22" t="n">
        <f aca="false">-IPMT(Assumptions!$B$74,3,Assumptions!$B$75,Startup!D$30)</f>
        <v>63491.7078019091</v>
      </c>
      <c r="F55" s="22" t="n">
        <f aca="false">-IPMT(Assumptions!$B$74,4,Assumptions!$B$75,Startup!D$30)</f>
        <v>57989.9410773421</v>
      </c>
      <c r="G55" s="22" t="n">
        <f aca="false">-IPMT(Assumptions!$B$74,5,Assumptions!$B$75,Startup!D$30)</f>
        <v>51924.2432635069</v>
      </c>
    </row>
    <row r="56" customFormat="false" ht="15" hidden="false" customHeight="false" outlineLevel="0" collapsed="false">
      <c r="A56" s="3" t="s">
        <v>253</v>
      </c>
      <c r="C56" s="23" t="n">
        <f aca="false">C52-C54-C55</f>
        <v>-304177.991710434</v>
      </c>
      <c r="D56" s="23" t="n">
        <f aca="false">D52-D54-D55</f>
        <v>-163326.407828405</v>
      </c>
      <c r="E56" s="23" t="n">
        <f aca="false">E52-E54-E55</f>
        <v>-71223.5492171435</v>
      </c>
      <c r="F56" s="23" t="n">
        <f aca="false">F52-F54-F55</f>
        <v>-819.26580700979</v>
      </c>
      <c r="G56" s="23" t="n">
        <f aca="false">G52-G54-G55</f>
        <v>44009.716911848</v>
      </c>
    </row>
    <row r="57" customFormat="false" ht="15" hidden="false" customHeight="false" outlineLevel="0" collapsed="false">
      <c r="A57" s="6" t="s">
        <v>254</v>
      </c>
      <c r="C57" s="22" t="n">
        <f aca="false">MAX(0,C56)*Assumptions!$B$77</f>
        <v>0</v>
      </c>
      <c r="D57" s="22" t="n">
        <f aca="false">MAX(0,D56)*Assumptions!$B$77</f>
        <v>0</v>
      </c>
      <c r="E57" s="22" t="n">
        <f aca="false">MAX(0,E56)*Assumptions!$B$77</f>
        <v>0</v>
      </c>
      <c r="F57" s="22" t="n">
        <f aca="false">MAX(0,F56)*Assumptions!$B$77</f>
        <v>0</v>
      </c>
      <c r="G57" s="22" t="n">
        <f aca="false">MAX(0,G56)*Assumptions!$B$77</f>
        <v>12322.7207353174</v>
      </c>
    </row>
    <row r="58" customFormat="false" ht="15" hidden="false" customHeight="false" outlineLevel="0" collapsed="false">
      <c r="A58" s="3" t="s">
        <v>255</v>
      </c>
      <c r="C58" s="30" t="n">
        <f aca="false">C56-C57</f>
        <v>-304177.991710434</v>
      </c>
      <c r="D58" s="30" t="n">
        <f aca="false">D56-D57</f>
        <v>-163326.407828405</v>
      </c>
      <c r="E58" s="30" t="n">
        <f aca="false">E56-E57</f>
        <v>-71223.5492171435</v>
      </c>
      <c r="F58" s="30" t="n">
        <f aca="false">F56-F57</f>
        <v>-819.26580700979</v>
      </c>
      <c r="G58" s="30" t="n">
        <f aca="false">G56-G57</f>
        <v>31686.9961765305</v>
      </c>
    </row>
    <row r="60" customFormat="false" ht="15" hidden="false" customHeight="false" outlineLevel="0" collapsed="false">
      <c r="A60" s="12" t="s">
        <v>256</v>
      </c>
      <c r="B60" s="13"/>
      <c r="C60" s="13"/>
      <c r="D60" s="13"/>
      <c r="E60" s="13"/>
      <c r="F60" s="13"/>
      <c r="G60" s="13"/>
      <c r="H60" s="13"/>
    </row>
    <row r="61" customFormat="false" ht="15" hidden="false" customHeight="false" outlineLevel="0" collapsed="false">
      <c r="A61" s="6" t="s">
        <v>249</v>
      </c>
      <c r="C61" s="22" t="n">
        <f aca="false">C52</f>
        <v>-125608.98792</v>
      </c>
      <c r="D61" s="22" t="n">
        <f aca="false">D52</f>
        <v>10716.278862</v>
      </c>
      <c r="E61" s="22" t="n">
        <f aca="false">E52</f>
        <v>97828.8728704799</v>
      </c>
      <c r="F61" s="22" t="n">
        <f aca="false">F52</f>
        <v>162731.389556047</v>
      </c>
      <c r="G61" s="22" t="n">
        <f aca="false">G52</f>
        <v>201494.674461069</v>
      </c>
    </row>
    <row r="62" customFormat="false" ht="15" hidden="false" customHeight="false" outlineLevel="0" collapsed="false">
      <c r="A62" s="6" t="s">
        <v>257</v>
      </c>
      <c r="C62" s="22" t="n">
        <f aca="false">-Startup!D$31</f>
        <v>-117167.480724515</v>
      </c>
      <c r="D62" s="22" t="n">
        <f aca="false">-Startup!D$31</f>
        <v>-117167.480724515</v>
      </c>
      <c r="E62" s="22" t="n">
        <f aca="false">-Startup!D$31</f>
        <v>-117167.480724515</v>
      </c>
      <c r="F62" s="22" t="n">
        <f aca="false">-Startup!D$31</f>
        <v>-117167.480724515</v>
      </c>
      <c r="G62" s="22" t="n">
        <f aca="false">-Startup!D$31</f>
        <v>-117167.480724515</v>
      </c>
    </row>
    <row r="63" customFormat="false" ht="15" hidden="false" customHeight="false" outlineLevel="0" collapsed="false">
      <c r="A63" s="6" t="s">
        <v>258</v>
      </c>
      <c r="C63" s="22" t="n">
        <f aca="false">-C57</f>
        <v>-0</v>
      </c>
      <c r="D63" s="22" t="n">
        <f aca="false">-D57</f>
        <v>-0</v>
      </c>
      <c r="E63" s="22" t="n">
        <f aca="false">-E57</f>
        <v>-0</v>
      </c>
      <c r="F63" s="22" t="n">
        <f aca="false">-F57</f>
        <v>-0</v>
      </c>
      <c r="G63" s="22" t="n">
        <f aca="false">-G57</f>
        <v>-12322.7207353174</v>
      </c>
    </row>
    <row r="64" customFormat="false" ht="15" hidden="false" customHeight="false" outlineLevel="0" collapsed="false">
      <c r="A64" s="6" t="s">
        <v>259</v>
      </c>
      <c r="C64" s="22" t="n">
        <f aca="false">-C27*0.02</f>
        <v>-8475.4896</v>
      </c>
      <c r="D64" s="22" t="n">
        <f aca="false">-D27*0.02</f>
        <v>-13129.73124</v>
      </c>
      <c r="E64" s="22" t="n">
        <f aca="false">-E27*0.02</f>
        <v>-16261.2337776</v>
      </c>
      <c r="F64" s="22" t="n">
        <f aca="false">-F27*0.02</f>
        <v>-18195.746865732</v>
      </c>
      <c r="G64" s="22" t="n">
        <f aca="false">-G27*0.02</f>
        <v>-19648.0338327037</v>
      </c>
      <c r="H64" s="2" t="s">
        <v>260</v>
      </c>
    </row>
    <row r="65" customFormat="false" ht="15" hidden="false" customHeight="false" outlineLevel="0" collapsed="false">
      <c r="A65" s="3" t="s">
        <v>261</v>
      </c>
      <c r="C65" s="23" t="n">
        <f aca="false">SUM(C61:C64)</f>
        <v>-251251.958244515</v>
      </c>
      <c r="D65" s="23" t="n">
        <f aca="false">SUM(D61:D64)</f>
        <v>-119580.933102515</v>
      </c>
      <c r="E65" s="23" t="n">
        <f aca="false">SUM(E61:E64)</f>
        <v>-35599.8416316346</v>
      </c>
      <c r="F65" s="23" t="n">
        <f aca="false">SUM(F61:F64)</f>
        <v>27368.1619658</v>
      </c>
      <c r="G65" s="23" t="n">
        <f aca="false">SUM(G61:G64)</f>
        <v>52356.4391685335</v>
      </c>
    </row>
    <row r="66" customFormat="false" ht="15" hidden="false" customHeight="false" outlineLevel="0" collapsed="false">
      <c r="A66" s="6" t="s">
        <v>262</v>
      </c>
      <c r="C66" s="22" t="n">
        <f aca="false">C65</f>
        <v>-251251.958244515</v>
      </c>
      <c r="D66" s="22" t="n">
        <f aca="false">C66+D65</f>
        <v>-370832.891347029</v>
      </c>
      <c r="E66" s="22" t="n">
        <f aca="false">D66+E65</f>
        <v>-406432.732978664</v>
      </c>
      <c r="F66" s="22" t="n">
        <f aca="false">E66+F65</f>
        <v>-379064.571012864</v>
      </c>
      <c r="G66" s="22" t="n">
        <f aca="false">F66+G65</f>
        <v>-326708.13184433</v>
      </c>
    </row>
    <row r="67" customFormat="false" ht="15" hidden="false" customHeight="false" outlineLevel="0" collapsed="false">
      <c r="A67" s="6" t="s">
        <v>263</v>
      </c>
      <c r="C67" s="31" t="n">
        <f aca="false">IF(Startup!D$31=0,0,(C61+C63+C64)/Startup!D$31)</f>
        <v>-1.14438303777531</v>
      </c>
      <c r="D67" s="31" t="n">
        <f aca="false">IF(Startup!D$31=0,0,(D61+D63+D64)/Startup!D$31)</f>
        <v>-0.0205983124590223</v>
      </c>
      <c r="E67" s="31" t="n">
        <f aca="false">IF(Startup!D$31=0,0,(E61+E63+E64)/Startup!D$31)</f>
        <v>0.696162779881413</v>
      </c>
      <c r="F67" s="31" t="n">
        <f aca="false">IF(Startup!D$31=0,0,(F61+F63+F64)/Startup!D$31)</f>
        <v>1.23358155178013</v>
      </c>
      <c r="G67" s="31" t="n">
        <f aca="false">IF(Startup!D$31=0,0,(G61+G63+G64)/Startup!D$31)</f>
        <v>1.44685128369052</v>
      </c>
      <c r="H67" s="2" t="s">
        <v>264</v>
      </c>
    </row>
    <row r="68" customFormat="false" ht="15" hidden="false" customHeight="false" outlineLevel="0" collapsed="false">
      <c r="A68" s="6" t="s">
        <v>265</v>
      </c>
      <c r="C68" s="22" t="n">
        <f aca="false">C27/$B$4</f>
        <v>141258.16</v>
      </c>
      <c r="D68" s="22" t="n">
        <f aca="false">D27/$B$4</f>
        <v>218828.854</v>
      </c>
      <c r="E68" s="22" t="n">
        <f aca="false">E27/$B$4</f>
        <v>271020.56296</v>
      </c>
      <c r="F68" s="22" t="n">
        <f aca="false">F27/$B$4</f>
        <v>303262.4477622</v>
      </c>
      <c r="G68" s="22" t="n">
        <f aca="false">G27/$B$4</f>
        <v>327467.230545062</v>
      </c>
    </row>
    <row r="69" customFormat="false" ht="15" hidden="false" customHeight="false" outlineLevel="0" collapsed="false">
      <c r="A69" s="6" t="s">
        <v>266</v>
      </c>
      <c r="C69" s="28" t="n">
        <f aca="false">IF(C27=0,0,C24/C27)</f>
        <v>0.231660953250418</v>
      </c>
      <c r="D69" s="28" t="n">
        <f aca="false">IF(D27=0,0,D24/D27)</f>
        <v>0.257058422469278</v>
      </c>
      <c r="E69" s="28" t="n">
        <f aca="false">IF(E27=0,0,E24/E27)</f>
        <v>0.264416010421234</v>
      </c>
      <c r="F69" s="28" t="n">
        <f aca="false">IF(F27=0,0,F24/F27)</f>
        <v>0.25838644717873</v>
      </c>
      <c r="G69" s="28" t="n">
        <f aca="false">IF(G27=0,0,G24/G27)</f>
        <v>0.258738928623702</v>
      </c>
    </row>
    <row r="70" customFormat="false" ht="15" hidden="false" customHeight="false" outlineLevel="0" collapsed="false">
      <c r="A70" s="6" t="s">
        <v>267</v>
      </c>
      <c r="C70" s="28" t="n">
        <f aca="false">IF(C27=0,0,C20/C27)</f>
        <v>0.0239765263826175</v>
      </c>
      <c r="D70" s="28" t="n">
        <f aca="false">IF(D27=0,0,D20/D27)</f>
        <v>0.0298905371957941</v>
      </c>
      <c r="E70" s="28" t="n">
        <f aca="false">IF(E27=0,0,E20/E27)</f>
        <v>0.0331445421775092</v>
      </c>
      <c r="F70" s="28" t="n">
        <f aca="false">IF(F27=0,0,F20/F27)</f>
        <v>0.0343230109365932</v>
      </c>
      <c r="G70" s="28" t="n">
        <f aca="false">IF(G27=0,0,G20/G27)</f>
        <v>0.0342986304249653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2" t="s">
        <v>199</v>
      </c>
    </row>
    <row r="4" customFormat="false" ht="15" hidden="false" customHeight="false" outlineLevel="0" collapsed="false">
      <c r="A4" s="3" t="s">
        <v>200</v>
      </c>
      <c r="B4" s="8" t="n">
        <f aca="false">Startup!E$5</f>
        <v>4</v>
      </c>
    </row>
    <row r="5" customFormat="false" ht="15" hidden="false" customHeight="false" outlineLevel="0" collapsed="false">
      <c r="A5" s="0" t="s">
        <v>201</v>
      </c>
      <c r="B5" s="25" t="n">
        <f aca="false">$B$4*Assumptions!$B$6*Assumptions!$B$7</f>
        <v>20160</v>
      </c>
    </row>
    <row r="7" customFormat="false" ht="15" hidden="false" customHeight="false" outlineLevel="0" collapsed="false">
      <c r="A7" s="5" t="s">
        <v>202</v>
      </c>
      <c r="B7" s="26"/>
      <c r="C7" s="27" t="s">
        <v>55</v>
      </c>
      <c r="D7" s="27" t="s">
        <v>56</v>
      </c>
      <c r="E7" s="27" t="s">
        <v>57</v>
      </c>
      <c r="F7" s="27" t="s">
        <v>58</v>
      </c>
      <c r="G7" s="27" t="s">
        <v>59</v>
      </c>
      <c r="H7" s="5" t="s">
        <v>203</v>
      </c>
    </row>
    <row r="8" customFormat="false" ht="15" hidden="false" customHeight="false" outlineLevel="0" collapsed="false">
      <c r="A8" s="12" t="s">
        <v>204</v>
      </c>
      <c r="B8" s="13"/>
      <c r="C8" s="13"/>
      <c r="D8" s="13"/>
      <c r="E8" s="13"/>
      <c r="F8" s="13"/>
      <c r="G8" s="13"/>
      <c r="H8" s="13"/>
    </row>
    <row r="9" customFormat="false" ht="15" hidden="false" customHeight="false" outlineLevel="0" collapsed="false">
      <c r="A9" s="6" t="s">
        <v>205</v>
      </c>
      <c r="C9" s="28" t="n">
        <f aca="false">Assumptions!$B$8</f>
        <v>0.28</v>
      </c>
      <c r="D9" s="28" t="n">
        <f aca="false">Assumptions!$C$8</f>
        <v>0.35</v>
      </c>
      <c r="E9" s="28" t="n">
        <f aca="false">Assumptions!$D$8</f>
        <v>0.4</v>
      </c>
      <c r="F9" s="28" t="n">
        <f aca="false">Assumptions!$E$8</f>
        <v>0.42</v>
      </c>
      <c r="G9" s="28" t="n">
        <f aca="false">Assumptions!$F$8</f>
        <v>0.44</v>
      </c>
    </row>
    <row r="10" customFormat="false" ht="15" hidden="false" customHeight="false" outlineLevel="0" collapsed="false">
      <c r="A10" s="6" t="s">
        <v>206</v>
      </c>
      <c r="C10" s="29" t="n">
        <f aca="false">$B$5*C9</f>
        <v>5644.8</v>
      </c>
      <c r="D10" s="29" t="n">
        <f aca="false">$B$5*D9</f>
        <v>7056</v>
      </c>
      <c r="E10" s="29" t="n">
        <f aca="false">$B$5*E9</f>
        <v>8064</v>
      </c>
      <c r="F10" s="29" t="n">
        <f aca="false">$B$5*F9</f>
        <v>8467.2</v>
      </c>
      <c r="G10" s="29" t="n">
        <f aca="false">$B$5*G9</f>
        <v>8870.4</v>
      </c>
    </row>
    <row r="11" customFormat="false" ht="15" hidden="false" customHeight="false" outlineLevel="0" collapsed="false">
      <c r="A11" s="6" t="s">
        <v>207</v>
      </c>
      <c r="C11" s="29" t="n">
        <f aca="false">C10*Assumptions!$B$9</f>
        <v>1975.68</v>
      </c>
      <c r="D11" s="29" t="n">
        <f aca="false">D10*Assumptions!$B$9</f>
        <v>2469.6</v>
      </c>
      <c r="E11" s="29" t="n">
        <f aca="false">E10*Assumptions!$B$9</f>
        <v>2822.4</v>
      </c>
      <c r="F11" s="29" t="n">
        <f aca="false">F10*Assumptions!$B$9</f>
        <v>2963.52</v>
      </c>
      <c r="G11" s="29" t="n">
        <f aca="false">G10*Assumptions!$B$9</f>
        <v>3104.64</v>
      </c>
    </row>
    <row r="12" customFormat="false" ht="15" hidden="false" customHeight="false" outlineLevel="0" collapsed="false">
      <c r="A12" s="6" t="s">
        <v>208</v>
      </c>
      <c r="C12" s="29" t="n">
        <f aca="false">C10*Assumptions!$B$10</f>
        <v>451.584</v>
      </c>
      <c r="D12" s="29" t="n">
        <f aca="false">D10*Assumptions!$C$10</f>
        <v>846.72</v>
      </c>
      <c r="E12" s="29" t="n">
        <f aca="false">E10*Assumptions!$D$10</f>
        <v>1128.96</v>
      </c>
      <c r="F12" s="29" t="n">
        <f aca="false">F10*Assumptions!$E$10</f>
        <v>1270.08</v>
      </c>
      <c r="G12" s="29" t="n">
        <f aca="false">G10*Assumptions!$F$10</f>
        <v>1330.56</v>
      </c>
    </row>
    <row r="13" customFormat="false" ht="15" hidden="false" customHeight="false" outlineLevel="0" collapsed="false">
      <c r="A13" s="6" t="s">
        <v>209</v>
      </c>
      <c r="C13" s="29" t="n">
        <f aca="false">C10-C11-C12</f>
        <v>3217.536</v>
      </c>
      <c r="D13" s="29" t="n">
        <f aca="false">D10-D11-D12</f>
        <v>3739.68</v>
      </c>
      <c r="E13" s="29" t="n">
        <f aca="false">E10-E11-E12</f>
        <v>4112.64</v>
      </c>
      <c r="F13" s="29" t="n">
        <f aca="false">F10-F11-F12</f>
        <v>4233.6</v>
      </c>
      <c r="G13" s="29" t="n">
        <f aca="false">G10-G11-G12</f>
        <v>4435.2</v>
      </c>
    </row>
    <row r="14" customFormat="false" ht="15" hidden="false" customHeight="false" outlineLevel="0" collapsed="false">
      <c r="A14" s="6" t="s">
        <v>210</v>
      </c>
      <c r="C14" s="29" t="n">
        <f aca="false">Assumptions!$B$16*$B$4</f>
        <v>60</v>
      </c>
      <c r="D14" s="29" t="n">
        <f aca="false">Assumptions!$C$16*$B$4</f>
        <v>88</v>
      </c>
      <c r="E14" s="29" t="n">
        <f aca="false">Assumptions!$D$16*$B$4</f>
        <v>104</v>
      </c>
      <c r="F14" s="29" t="n">
        <f aca="false">Assumptions!$E$16*$B$4</f>
        <v>112</v>
      </c>
      <c r="G14" s="29" t="n">
        <f aca="false">Assumptions!$F$16*$B$4</f>
        <v>116</v>
      </c>
    </row>
    <row r="15" customFormat="false" ht="15" hidden="false" customHeight="false" outlineLevel="0" collapsed="false">
      <c r="A15" s="6" t="s">
        <v>211</v>
      </c>
      <c r="C15" s="29" t="n">
        <f aca="false">(Assumptions!$B$18*$B$4/4+C14)/2</f>
        <v>50</v>
      </c>
      <c r="D15" s="29" t="n">
        <f aca="false">(C14+D14)/2</f>
        <v>74</v>
      </c>
      <c r="E15" s="29" t="n">
        <f aca="false">(D14+E14)/2</f>
        <v>96</v>
      </c>
      <c r="F15" s="29" t="n">
        <f aca="false">(E14+F14)/2</f>
        <v>108</v>
      </c>
      <c r="G15" s="29" t="n">
        <f aca="false">(F14+G14)/2</f>
        <v>114</v>
      </c>
      <c r="H15" s="2" t="s">
        <v>212</v>
      </c>
    </row>
    <row r="17" customFormat="false" ht="15" hidden="false" customHeight="false" outlineLevel="0" collapsed="false">
      <c r="A17" s="12" t="s">
        <v>213</v>
      </c>
      <c r="B17" s="13"/>
      <c r="C17" s="13"/>
      <c r="D17" s="13"/>
      <c r="E17" s="13"/>
      <c r="F17" s="13"/>
      <c r="G17" s="13"/>
      <c r="H17" s="13"/>
    </row>
    <row r="18" customFormat="false" ht="15" hidden="false" customHeight="false" outlineLevel="0" collapsed="false">
      <c r="A18" s="6" t="s">
        <v>214</v>
      </c>
      <c r="C18" s="22" t="n">
        <f aca="false">C13*Assumptions!$B$11*(1+Assumptions!$B$13)^0</f>
        <v>144789.12</v>
      </c>
      <c r="D18" s="22" t="n">
        <f aca="false">D13*Assumptions!$B$11*(1+Assumptions!$B$13)^1</f>
        <v>173334.168</v>
      </c>
      <c r="E18" s="22" t="n">
        <f aca="false">E13*Assumptions!$B$11*(1+Assumptions!$B$13)^2</f>
        <v>196339.48992</v>
      </c>
      <c r="F18" s="22" t="n">
        <f aca="false">F13*Assumptions!$B$11*(1+Assumptions!$B$13)^3</f>
        <v>208177.606224</v>
      </c>
      <c r="G18" s="22" t="n">
        <f aca="false">G13*Assumptions!$B$11*(1+Assumptions!$B$13)^4</f>
        <v>224633.55033504</v>
      </c>
      <c r="H18" s="2" t="s">
        <v>215</v>
      </c>
    </row>
    <row r="19" customFormat="false" ht="15" hidden="false" customHeight="false" outlineLevel="0" collapsed="false">
      <c r="A19" s="6" t="s">
        <v>216</v>
      </c>
      <c r="C19" s="22" t="n">
        <f aca="false">C15*Assumptions!$B$17*12*(1+Assumptions!$B$13)^0</f>
        <v>118500</v>
      </c>
      <c r="D19" s="22" t="n">
        <f aca="false">D15*Assumptions!$B$17*12*(1+Assumptions!$B$13)^1</f>
        <v>180641.4</v>
      </c>
      <c r="E19" s="22" t="n">
        <f aca="false">E15*Assumptions!$B$17*12*(1+Assumptions!$B$13)^2</f>
        <v>241375.968</v>
      </c>
      <c r="F19" s="22" t="n">
        <f aca="false">F15*Assumptions!$B$17*12*(1+Assumptions!$B$13)^3</f>
        <v>279694.40292</v>
      </c>
      <c r="G19" s="22" t="n">
        <f aca="false">G15*Assumptions!$B$17*12*(1+Assumptions!$B$13)^4</f>
        <v>304089.9702858</v>
      </c>
    </row>
    <row r="20" customFormat="false" ht="15" hidden="false" customHeight="false" outlineLevel="0" collapsed="false">
      <c r="A20" s="6" t="s">
        <v>217</v>
      </c>
      <c r="C20" s="22" t="n">
        <f aca="false">C12*Assumptions!$B$12*(1+Assumptions!$B$13)^0</f>
        <v>13547.52</v>
      </c>
      <c r="D20" s="22" t="n">
        <f aca="false">D12*Assumptions!$B$12*(1+Assumptions!$B$13)^1</f>
        <v>26163.648</v>
      </c>
      <c r="E20" s="22" t="n">
        <f aca="false">E12*Assumptions!$B$12*(1+Assumptions!$B$13)^2</f>
        <v>35931.40992</v>
      </c>
      <c r="F20" s="22" t="n">
        <f aca="false">F12*Assumptions!$B$12*(1+Assumptions!$B$13)^3</f>
        <v>41635.5212448</v>
      </c>
      <c r="G20" s="22" t="n">
        <f aca="false">G12*Assumptions!$B$12*(1+Assumptions!$B$13)^4</f>
        <v>44926.710067008</v>
      </c>
      <c r="H20" s="2" t="s">
        <v>218</v>
      </c>
    </row>
    <row r="21" customFormat="false" ht="15" hidden="false" customHeight="false" outlineLevel="0" collapsed="false">
      <c r="A21" s="6" t="s">
        <v>219</v>
      </c>
      <c r="C21" s="22" t="n">
        <f aca="false">Assumptions!$B$22*Assumptions!$B$23*$B$4*Assumptions!$B$24*Assumptions!$B$25*Assumptions!$B$30*(1+Assumptions!$B$13)^0</f>
        <v>39600</v>
      </c>
      <c r="D21" s="22" t="n">
        <f aca="false">Assumptions!$B$22*Assumptions!$B$23*$B$4*Assumptions!$B$24*Assumptions!$B$25*Assumptions!$C$30*(1+Assumptions!$B$13)^1</f>
        <v>63036</v>
      </c>
      <c r="E21" s="22" t="n">
        <f aca="false">Assumptions!$B$22*Assumptions!$B$23*$B$4*Assumptions!$B$24*Assumptions!$B$25*Assumptions!$D$30*(1+Assumptions!$B$13)^2</f>
        <v>76384.8</v>
      </c>
      <c r="F21" s="22" t="n">
        <f aca="false">Assumptions!$B$22*Assumptions!$B$23*$B$4*Assumptions!$B$24*Assumptions!$B$25*Assumptions!$E$30*(1+Assumptions!$B$13)^3</f>
        <v>82610.1612</v>
      </c>
      <c r="G21" s="22" t="n">
        <f aca="false">Assumptions!$B$22*Assumptions!$B$23*$B$4*Assumptions!$B$24*Assumptions!$B$25*Assumptions!$F$30*(1+Assumptions!$B$13)^4</f>
        <v>89140.297752</v>
      </c>
    </row>
    <row r="22" customFormat="false" ht="15" hidden="false" customHeight="false" outlineLevel="0" collapsed="false">
      <c r="A22" s="6" t="s">
        <v>220</v>
      </c>
      <c r="C22" s="22" t="n">
        <f aca="false">Assumptions!$B$26*$B$4*Assumptions!$B$30*(1+Assumptions!$B$13)^0</f>
        <v>66000</v>
      </c>
      <c r="D22" s="22" t="n">
        <f aca="false">Assumptions!$B$26*$B$4*Assumptions!$C$30*(1+Assumptions!$B$13)^1</f>
        <v>105060</v>
      </c>
      <c r="E22" s="22" t="n">
        <f aca="false">Assumptions!$B$26*$B$4*Assumptions!$D$30*(1+Assumptions!$B$13)^2</f>
        <v>127308</v>
      </c>
      <c r="F22" s="22" t="n">
        <f aca="false">Assumptions!$B$26*$B$4*Assumptions!$E$30*(1+Assumptions!$B$13)^3</f>
        <v>137683.602</v>
      </c>
      <c r="G22" s="22" t="n">
        <f aca="false">Assumptions!$B$26*$B$4*Assumptions!$F$30*(1+Assumptions!$B$13)^4</f>
        <v>148567.16292</v>
      </c>
    </row>
    <row r="23" customFormat="false" ht="15" hidden="false" customHeight="false" outlineLevel="0" collapsed="false">
      <c r="A23" s="6" t="s">
        <v>221</v>
      </c>
      <c r="C23" s="22" t="n">
        <f aca="false">Assumptions!$B$28*$B$4*Assumptions!$B$30*(1+Assumptions!$B$13)^0</f>
        <v>38500</v>
      </c>
      <c r="D23" s="22" t="n">
        <f aca="false">Assumptions!$B$28*$B$4*Assumptions!$C$30*(1+Assumptions!$B$13)^1</f>
        <v>61285</v>
      </c>
      <c r="E23" s="22" t="n">
        <f aca="false">Assumptions!$B$28*$B$4*Assumptions!$D$30*(1+Assumptions!$B$13)^2</f>
        <v>74263</v>
      </c>
      <c r="F23" s="22" t="n">
        <f aca="false">Assumptions!$B$28*$B$4*Assumptions!$E$30*(1+Assumptions!$B$13)^3</f>
        <v>80315.4345</v>
      </c>
      <c r="G23" s="22" t="n">
        <f aca="false">Assumptions!$B$28*$B$4*Assumptions!$F$30*(1+Assumptions!$B$13)^4</f>
        <v>86664.17837</v>
      </c>
    </row>
    <row r="24" customFormat="false" ht="15" hidden="false" customHeight="false" outlineLevel="0" collapsed="false">
      <c r="A24" s="6" t="s">
        <v>222</v>
      </c>
      <c r="C24" s="22" t="n">
        <f aca="false">C10*Assumptions!$B$35+C15*Assumptions!$B$36*12*(1+Assumptions!$B$13)^0</f>
        <v>130896</v>
      </c>
      <c r="D24" s="22" t="n">
        <f aca="false">D10*Assumptions!$C$35+D15*Assumptions!$B$36*12*(1+Assumptions!$B$13)^1</f>
        <v>225007.2</v>
      </c>
      <c r="E24" s="22" t="n">
        <f aca="false">E10*Assumptions!$D$35+E15*Assumptions!$B$36*12*(1+Assumptions!$B$13)^2</f>
        <v>286648.704</v>
      </c>
      <c r="F24" s="22" t="n">
        <f aca="false">F10*Assumptions!$E$35+F15*Assumptions!$B$36*12*(1+Assumptions!$B$13)^3</f>
        <v>313435.62576</v>
      </c>
      <c r="G24" s="22" t="n">
        <f aca="false">G10*Assumptions!$F$35+G15*Assumptions!$B$36*12*(1+Assumptions!$B$13)^4</f>
        <v>338914.0815624</v>
      </c>
      <c r="H24" s="2" t="s">
        <v>223</v>
      </c>
    </row>
    <row r="25" customFormat="false" ht="15" hidden="false" customHeight="false" outlineLevel="0" collapsed="false">
      <c r="A25" s="6" t="s">
        <v>224</v>
      </c>
      <c r="C25" s="22" t="n">
        <f aca="false">Assumptions!$B$29*$B$4*Assumptions!$B$30*(1+Assumptions!$B$13)^0</f>
        <v>13200</v>
      </c>
      <c r="D25" s="22" t="n">
        <f aca="false">Assumptions!$B$29*$B$4*Assumptions!$C$30*(1+Assumptions!$B$13)^1</f>
        <v>21012</v>
      </c>
      <c r="E25" s="22" t="n">
        <f aca="false">Assumptions!$B$29*$B$4*Assumptions!$D$30*(1+Assumptions!$B$13)^2</f>
        <v>25461.6</v>
      </c>
      <c r="F25" s="22" t="n">
        <f aca="false">Assumptions!$B$29*$B$4*Assumptions!$E$30*(1+Assumptions!$B$13)^3</f>
        <v>27536.7204</v>
      </c>
      <c r="G25" s="22" t="n">
        <f aca="false">Assumptions!$B$29*$B$4*Assumptions!$F$30*(1+Assumptions!$B$13)^4</f>
        <v>29713.432584</v>
      </c>
    </row>
    <row r="26" customFormat="false" ht="15" hidden="false" customHeight="false" outlineLevel="0" collapsed="false">
      <c r="A26" s="6" t="s">
        <v>225</v>
      </c>
      <c r="C26" s="22" t="n">
        <f aca="false">Assumptions!$B$31*Assumptions!$B$32*(1+Assumptions!$B$13)^0</f>
        <v>0</v>
      </c>
      <c r="D26" s="22" t="n">
        <f aca="false">Assumptions!$C$31*Assumptions!$B$32*(1+Assumptions!$B$13)^1</f>
        <v>14832</v>
      </c>
      <c r="E26" s="22" t="n">
        <f aca="false">Assumptions!$D$31*Assumptions!$B$32*(1+Assumptions!$B$13)^2</f>
        <v>15276.96</v>
      </c>
      <c r="F26" s="22" t="n">
        <f aca="false">Assumptions!$E$31*Assumptions!$B$32*(1+Assumptions!$B$13)^3</f>
        <v>31470.5376</v>
      </c>
      <c r="G26" s="22" t="n">
        <f aca="false">Assumptions!$F$31*Assumptions!$B$32*(1+Assumptions!$B$13)^4</f>
        <v>32414.653728</v>
      </c>
    </row>
    <row r="27" customFormat="false" ht="15" hidden="false" customHeight="false" outlineLevel="0" collapsed="false">
      <c r="A27" s="3" t="s">
        <v>226</v>
      </c>
      <c r="C27" s="23" t="n">
        <f aca="false">SUM(C18:C26)</f>
        <v>565032.64</v>
      </c>
      <c r="D27" s="23" t="n">
        <f aca="false">SUM(D18:D26)</f>
        <v>870371.416</v>
      </c>
      <c r="E27" s="23" t="n">
        <f aca="false">SUM(E18:E26)</f>
        <v>1078989.93184</v>
      </c>
      <c r="F27" s="23" t="n">
        <f aca="false">SUM(F18:F26)</f>
        <v>1202559.6118488</v>
      </c>
      <c r="G27" s="23" t="n">
        <f aca="false">SUM(G18:G26)</f>
        <v>1299064.03760425</v>
      </c>
    </row>
    <row r="29" customFormat="false" ht="15" hidden="false" customHeight="false" outlineLevel="0" collapsed="false">
      <c r="A29" s="12" t="s">
        <v>227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6" t="s">
        <v>228</v>
      </c>
      <c r="C30" s="22" t="n">
        <f aca="false">C24*Assumptions!$B$37</f>
        <v>44504.64</v>
      </c>
      <c r="D30" s="22" t="n">
        <f aca="false">D24*Assumptions!$B$37</f>
        <v>76502.448</v>
      </c>
      <c r="E30" s="22" t="n">
        <f aca="false">E24*Assumptions!$B$37</f>
        <v>97460.55936</v>
      </c>
      <c r="F30" s="22" t="n">
        <f aca="false">F24*Assumptions!$B$37</f>
        <v>106568.1127584</v>
      </c>
      <c r="G30" s="22" t="n">
        <f aca="false">G24*Assumptions!$B$37</f>
        <v>115230.787731216</v>
      </c>
    </row>
    <row r="31" customFormat="false" ht="15" hidden="false" customHeight="false" outlineLevel="0" collapsed="false">
      <c r="A31" s="6" t="s">
        <v>229</v>
      </c>
      <c r="C31" s="22" t="n">
        <f aca="false">C22*Assumptions!$B$27</f>
        <v>33000</v>
      </c>
      <c r="D31" s="22" t="n">
        <f aca="false">D22*Assumptions!$B$27</f>
        <v>52530</v>
      </c>
      <c r="E31" s="22" t="n">
        <f aca="false">E22*Assumptions!$B$27</f>
        <v>63654</v>
      </c>
      <c r="F31" s="22" t="n">
        <f aca="false">F22*Assumptions!$B$27</f>
        <v>68841.801</v>
      </c>
      <c r="G31" s="22" t="n">
        <f aca="false">G22*Assumptions!$B$27</f>
        <v>74283.58146</v>
      </c>
    </row>
    <row r="32" customFormat="false" ht="15" hidden="false" customHeight="false" outlineLevel="0" collapsed="false">
      <c r="A32" s="6" t="s">
        <v>230</v>
      </c>
      <c r="C32" s="22" t="n">
        <f aca="false">C25*Assumptions!$B$38</f>
        <v>7260</v>
      </c>
      <c r="D32" s="22" t="n">
        <f aca="false">D25*Assumptions!$B$38</f>
        <v>11556.6</v>
      </c>
      <c r="E32" s="22" t="n">
        <f aca="false">E25*Assumptions!$B$38</f>
        <v>14003.88</v>
      </c>
      <c r="F32" s="22" t="n">
        <f aca="false">F25*Assumptions!$B$38</f>
        <v>15145.19622</v>
      </c>
      <c r="G32" s="22" t="n">
        <f aca="false">G25*Assumptions!$B$38</f>
        <v>16342.3879212</v>
      </c>
    </row>
    <row r="33" customFormat="false" ht="15" hidden="false" customHeight="false" outlineLevel="0" collapsed="false">
      <c r="A33" s="6" t="s">
        <v>231</v>
      </c>
      <c r="C33" s="22" t="n">
        <f aca="false">C21*Assumptions!$B$39</f>
        <v>3960</v>
      </c>
      <c r="D33" s="22" t="n">
        <f aca="false">D21*Assumptions!$B$39</f>
        <v>6303.6</v>
      </c>
      <c r="E33" s="22" t="n">
        <f aca="false">E21*Assumptions!$B$39</f>
        <v>7638.48</v>
      </c>
      <c r="F33" s="22" t="n">
        <f aca="false">F21*Assumptions!$B$39</f>
        <v>8261.01612</v>
      </c>
      <c r="G33" s="22" t="n">
        <f aca="false">G21*Assumptions!$B$39</f>
        <v>8914.0297752</v>
      </c>
    </row>
    <row r="34" customFormat="false" ht="15" hidden="false" customHeight="false" outlineLevel="0" collapsed="false">
      <c r="A34" s="3" t="s">
        <v>232</v>
      </c>
      <c r="C34" s="23" t="n">
        <f aca="false">C27-SUM(C30:C33)</f>
        <v>476308</v>
      </c>
      <c r="D34" s="23" t="n">
        <f aca="false">D27-SUM(D30:D33)</f>
        <v>723478.768</v>
      </c>
      <c r="E34" s="23" t="n">
        <f aca="false">E27-SUM(E30:E33)</f>
        <v>896233.01248</v>
      </c>
      <c r="F34" s="23" t="n">
        <f aca="false">F27-SUM(F30:F33)</f>
        <v>1003743.4857504</v>
      </c>
      <c r="G34" s="23" t="n">
        <f aca="false">G27-SUM(G30:G33)</f>
        <v>1084293.25071663</v>
      </c>
    </row>
    <row r="35" customFormat="false" ht="15" hidden="false" customHeight="false" outlineLevel="0" collapsed="false">
      <c r="A35" s="6" t="s">
        <v>233</v>
      </c>
      <c r="C35" s="28" t="n">
        <f aca="false">IF(C27=0,0,C34/C27)</f>
        <v>0.842974310298251</v>
      </c>
      <c r="D35" s="28" t="n">
        <f aca="false">IF(D27=0,0,D34/D27)</f>
        <v>0.831229926328371</v>
      </c>
      <c r="E35" s="28" t="n">
        <f aca="false">IF(E27=0,0,E34/E27)</f>
        <v>0.830622219941993</v>
      </c>
      <c r="F35" s="28" t="n">
        <f aca="false">IF(F27=0,0,F34/F27)</f>
        <v>0.834672540022575</v>
      </c>
      <c r="G35" s="28" t="n">
        <f aca="false">IF(G27=0,0,G34/G27)</f>
        <v>0.834672671499937</v>
      </c>
    </row>
    <row r="37" customFormat="false" ht="15" hidden="false" customHeight="false" outlineLevel="0" collapsed="false">
      <c r="A37" s="12" t="s">
        <v>234</v>
      </c>
      <c r="B37" s="13"/>
      <c r="C37" s="13"/>
      <c r="D37" s="13"/>
      <c r="E37" s="13"/>
      <c r="F37" s="13"/>
      <c r="G37" s="13"/>
      <c r="H37" s="13"/>
    </row>
    <row r="38" customFormat="false" ht="15" hidden="false" customHeight="false" outlineLevel="0" collapsed="false">
      <c r="A38" s="6" t="s">
        <v>235</v>
      </c>
      <c r="C38" s="22" t="n">
        <f aca="false">Startup!E$33*(Assumptions!$B$44+Assumptions!$B$45)*(1+Assumptions!$B$46)^0</f>
        <v>105350</v>
      </c>
      <c r="D38" s="22" t="n">
        <f aca="false">Startup!E$33*(Assumptions!$B$44+Assumptions!$B$45)*(1+Assumptions!$B$46)^1</f>
        <v>108510.5</v>
      </c>
      <c r="E38" s="22" t="n">
        <f aca="false">Startup!E$33*(Assumptions!$B$44+Assumptions!$B$45)*(1+Assumptions!$B$46)^2</f>
        <v>111765.815</v>
      </c>
      <c r="F38" s="22" t="n">
        <f aca="false">Startup!E$33*(Assumptions!$B$44+Assumptions!$B$45)*(1+Assumptions!$B$46)^3</f>
        <v>115118.78945</v>
      </c>
      <c r="G38" s="22" t="n">
        <f aca="false">Startup!E$33*(Assumptions!$B$44+Assumptions!$B$45)*(1+Assumptions!$B$46)^4</f>
        <v>118572.3531335</v>
      </c>
    </row>
    <row r="39" customFormat="false" ht="15" hidden="false" customHeight="false" outlineLevel="0" collapsed="false">
      <c r="A39" s="6" t="s">
        <v>236</v>
      </c>
      <c r="C39" s="22" t="n">
        <f aca="false">(Assumptions!$B$50+Assumptions!$B$51*(1-Assumptions!$B$52)+Assumptions!$B$53)*(1+Assumptions!$B$58)*(1+Assumptions!$B$59)^0</f>
        <v>155040</v>
      </c>
      <c r="D39" s="22" t="n">
        <f aca="false">(Assumptions!$B$50+Assumptions!$B$51*(1-Assumptions!$B$52)+Assumptions!$B$53)*(1+Assumptions!$B$58)*(1+Assumptions!$B$59)^1</f>
        <v>159691.2</v>
      </c>
      <c r="E39" s="22" t="n">
        <f aca="false">(Assumptions!$B$50+Assumptions!$B$51*(1-Assumptions!$B$52)+Assumptions!$B$53)*(1+Assumptions!$B$58)*(1+Assumptions!$B$59)^2</f>
        <v>164481.936</v>
      </c>
      <c r="F39" s="22" t="n">
        <f aca="false">(Assumptions!$B$50+Assumptions!$B$51*(1-Assumptions!$B$52)+Assumptions!$B$53)*(1+Assumptions!$B$58)*(1+Assumptions!$B$59)^3</f>
        <v>169416.39408</v>
      </c>
      <c r="G39" s="22" t="n">
        <f aca="false">(Assumptions!$B$50+Assumptions!$B$51*(1-Assumptions!$B$52)+Assumptions!$B$53)*(1+Assumptions!$B$58)*(1+Assumptions!$B$59)^4</f>
        <v>174498.8859024</v>
      </c>
    </row>
    <row r="40" customFormat="false" ht="15" hidden="false" customHeight="false" outlineLevel="0" collapsed="false">
      <c r="A40" s="3" t="s">
        <v>237</v>
      </c>
      <c r="C40" s="23" t="n">
        <f aca="false">SUM(C38:C39)+SUM(C41:C49)</f>
        <v>557143.25056</v>
      </c>
      <c r="D40" s="23" t="n">
        <f aca="false">SUM(D38:D39)+SUM(D41:D49)</f>
        <v>622531.987784</v>
      </c>
      <c r="E40" s="23" t="n">
        <f aca="false">SUM(E38:E39)+SUM(E41:E49)</f>
        <v>675334.08645936</v>
      </c>
      <c r="F40" s="23" t="n">
        <f aca="false">SUM(F38:F39)+SUM(F41:F49)</f>
        <v>698418.109127471</v>
      </c>
      <c r="G40" s="23" t="n">
        <f aca="false">SUM(G38:G39)+SUM(G41:G49)</f>
        <v>724704.988503894</v>
      </c>
      <c r="H40" s="2" t="s">
        <v>238</v>
      </c>
    </row>
    <row r="41" customFormat="false" ht="15" hidden="false" customHeight="false" outlineLevel="0" collapsed="false">
      <c r="A41" s="6" t="s">
        <v>239</v>
      </c>
      <c r="C41" s="22" t="n">
        <f aca="false">(Assumptions!$B$55+Assumptions!$B$54*$B$4)*52*Assumptions!$B$56*(1+Assumptions!$B$58)*(1+Assumptions!$B$59)^0*Assumptions!$B$57</f>
        <v>143339.04</v>
      </c>
      <c r="D41" s="22" t="n">
        <f aca="false">(Assumptions!$B$55+Assumptions!$B$54*$B$4)*52*Assumptions!$B$56*(1+Assumptions!$B$58)*(1+Assumptions!$B$59)^1*Assumptions!$C$57</f>
        <v>177167.05344</v>
      </c>
      <c r="E41" s="22" t="n">
        <f aca="false">(Assumptions!$B$55+Assumptions!$B$54*$B$4)*52*Assumptions!$B$56*(1+Assumptions!$B$58)*(1+Assumptions!$B$59)^2*Assumptions!$D$57</f>
        <v>202757.850048</v>
      </c>
      <c r="F41" s="22" t="n">
        <f aca="false">(Assumptions!$B$55+Assumptions!$B$54*$B$4)*52*Assumptions!$B$56*(1+Assumptions!$B$58)*(1+Assumptions!$B$59)^3*Assumptions!$E$57</f>
        <v>208840.58554944</v>
      </c>
      <c r="G41" s="22" t="n">
        <f aca="false">(Assumptions!$B$55+Assumptions!$B$54*$B$4)*52*Assumptions!$B$56*(1+Assumptions!$B$58)*(1+Assumptions!$B$59)^4*Assumptions!$F$57</f>
        <v>215105.803115923</v>
      </c>
    </row>
    <row r="42" customFormat="false" ht="15" hidden="false" customHeight="false" outlineLevel="0" collapsed="false">
      <c r="A42" s="6" t="s">
        <v>240</v>
      </c>
      <c r="C42" s="22" t="n">
        <f aca="false">Assumptions!$B$62*$B$4+Assumptions!$B$63</f>
        <v>21600</v>
      </c>
      <c r="D42" s="22" t="n">
        <f aca="false">Assumptions!$B$62*$B$4+Assumptions!$B$63</f>
        <v>21600</v>
      </c>
      <c r="E42" s="22" t="n">
        <f aca="false">Assumptions!$B$62*$B$4+Assumptions!$B$63</f>
        <v>21600</v>
      </c>
      <c r="F42" s="22" t="n">
        <f aca="false">Assumptions!$B$62*$B$4+Assumptions!$B$63</f>
        <v>21600</v>
      </c>
      <c r="G42" s="22" t="n">
        <f aca="false">Assumptions!$B$62*$B$4+Assumptions!$B$63</f>
        <v>21600</v>
      </c>
    </row>
    <row r="43" customFormat="false" ht="15" hidden="false" customHeight="false" outlineLevel="0" collapsed="false">
      <c r="A43" s="6" t="s">
        <v>241</v>
      </c>
      <c r="C43" s="22" t="n">
        <f aca="false">Startup!E$33*Assumptions!$B$47*(1+Assumptions!$B$46)^0</f>
        <v>15925</v>
      </c>
      <c r="D43" s="22" t="n">
        <f aca="false">Startup!E$33*Assumptions!$B$47*(1+Assumptions!$B$46)^1</f>
        <v>16402.75</v>
      </c>
      <c r="E43" s="22" t="n">
        <f aca="false">Startup!E$33*Assumptions!$B$47*(1+Assumptions!$B$46)^2</f>
        <v>16894.8325</v>
      </c>
      <c r="F43" s="22" t="n">
        <f aca="false">Startup!E$33*Assumptions!$B$47*(1+Assumptions!$B$46)^3</f>
        <v>17401.677475</v>
      </c>
      <c r="G43" s="22" t="n">
        <f aca="false">Startup!E$33*Assumptions!$B$47*(1+Assumptions!$B$46)^4</f>
        <v>17923.72779925</v>
      </c>
    </row>
    <row r="44" customFormat="false" ht="15" hidden="false" customHeight="false" outlineLevel="0" collapsed="false">
      <c r="A44" s="6" t="s">
        <v>242</v>
      </c>
      <c r="C44" s="22" t="n">
        <f aca="false">(Assumptions!$B$64+Assumptions!$B$65*$B$4)*(1+Assumptions!$B$46)^0</f>
        <v>22000</v>
      </c>
      <c r="D44" s="22" t="n">
        <f aca="false">(Assumptions!$B$64+Assumptions!$B$65*$B$4)*(1+Assumptions!$B$46)^1</f>
        <v>22660</v>
      </c>
      <c r="E44" s="22" t="n">
        <f aca="false">(Assumptions!$B$64+Assumptions!$B$65*$B$4)*(1+Assumptions!$B$46)^2</f>
        <v>23339.8</v>
      </c>
      <c r="F44" s="22" t="n">
        <f aca="false">(Assumptions!$B$64+Assumptions!$B$65*$B$4)*(1+Assumptions!$B$46)^3</f>
        <v>24039.994</v>
      </c>
      <c r="G44" s="22" t="n">
        <f aca="false">(Assumptions!$B$64+Assumptions!$B$65*$B$4)*(1+Assumptions!$B$46)^4</f>
        <v>24761.19382</v>
      </c>
    </row>
    <row r="45" customFormat="false" ht="15" hidden="false" customHeight="false" outlineLevel="0" collapsed="false">
      <c r="A45" s="6" t="s">
        <v>243</v>
      </c>
      <c r="C45" s="22" t="n">
        <f aca="false">C27*Assumptions!$B$66</f>
        <v>39552.2848</v>
      </c>
      <c r="D45" s="22" t="n">
        <f aca="false">D27*Assumptions!$C$66</f>
        <v>43518.5708</v>
      </c>
      <c r="E45" s="22" t="n">
        <f aca="false">E27*Assumptions!$D$66</f>
        <v>48554.5469328</v>
      </c>
      <c r="F45" s="22" t="n">
        <f aca="false">F27*Assumptions!$E$66</f>
        <v>48102.384473952</v>
      </c>
      <c r="G45" s="22" t="n">
        <f aca="false">G27*Assumptions!$F$66</f>
        <v>51962.5615041699</v>
      </c>
    </row>
    <row r="46" customFormat="false" ht="15" hidden="false" customHeight="false" outlineLevel="0" collapsed="false">
      <c r="A46" s="6" t="s">
        <v>244</v>
      </c>
      <c r="C46" s="22" t="n">
        <f aca="false">C27*Assumptions!$B$67</f>
        <v>16385.94656</v>
      </c>
      <c r="D46" s="22" t="n">
        <f aca="false">D27*Assumptions!$B$67</f>
        <v>25240.771064</v>
      </c>
      <c r="E46" s="22" t="n">
        <f aca="false">E27*Assumptions!$B$67</f>
        <v>31290.70802336</v>
      </c>
      <c r="F46" s="22" t="n">
        <f aca="false">F27*Assumptions!$B$67</f>
        <v>34874.2287436152</v>
      </c>
      <c r="G46" s="22" t="n">
        <f aca="false">G27*Assumptions!$B$67</f>
        <v>37672.8570905232</v>
      </c>
    </row>
    <row r="47" customFormat="false" ht="15" hidden="false" customHeight="false" outlineLevel="0" collapsed="false">
      <c r="A47" s="6" t="s">
        <v>245</v>
      </c>
      <c r="C47" s="22" t="n">
        <f aca="false">C27*Assumptions!$B$68</f>
        <v>8475.4896</v>
      </c>
      <c r="D47" s="22" t="n">
        <f aca="false">D27*Assumptions!$B$68</f>
        <v>13055.57124</v>
      </c>
      <c r="E47" s="22" t="n">
        <f aca="false">E27*Assumptions!$B$68</f>
        <v>16184.8489776</v>
      </c>
      <c r="F47" s="22" t="n">
        <f aca="false">F27*Assumptions!$B$68</f>
        <v>18038.394177732</v>
      </c>
      <c r="G47" s="22" t="n">
        <f aca="false">G27*Assumptions!$B$68</f>
        <v>19485.9605640637</v>
      </c>
    </row>
    <row r="48" customFormat="false" ht="15" hidden="false" customHeight="false" outlineLevel="0" collapsed="false">
      <c r="A48" s="6" t="s">
        <v>246</v>
      </c>
      <c r="C48" s="22" t="n">
        <f aca="false">C27*Assumptions!$B$69</f>
        <v>8475.4896</v>
      </c>
      <c r="D48" s="22" t="n">
        <f aca="false">D27*Assumptions!$B$69</f>
        <v>13055.57124</v>
      </c>
      <c r="E48" s="22" t="n">
        <f aca="false">E27*Assumptions!$B$69</f>
        <v>16184.8489776</v>
      </c>
      <c r="F48" s="22" t="n">
        <f aca="false">F27*Assumptions!$B$69</f>
        <v>18038.394177732</v>
      </c>
      <c r="G48" s="22" t="n">
        <f aca="false">G27*Assumptions!$B$69</f>
        <v>19485.9605640637</v>
      </c>
    </row>
    <row r="49" customFormat="false" ht="15" hidden="false" customHeight="false" outlineLevel="0" collapsed="false">
      <c r="A49" s="6" t="s">
        <v>247</v>
      </c>
      <c r="C49" s="22" t="n">
        <f aca="false">Assumptions!$B$70*(1+Assumptions!$B$46)^0</f>
        <v>21000</v>
      </c>
      <c r="D49" s="22" t="n">
        <f aca="false">Assumptions!$B$70*(1+Assumptions!$B$46)^1</f>
        <v>21630</v>
      </c>
      <c r="E49" s="22" t="n">
        <f aca="false">Assumptions!$B$70*(1+Assumptions!$B$46)^2</f>
        <v>22278.9</v>
      </c>
      <c r="F49" s="22" t="n">
        <f aca="false">Assumptions!$B$70*(1+Assumptions!$B$46)^3</f>
        <v>22947.267</v>
      </c>
      <c r="G49" s="22" t="n">
        <f aca="false">Assumptions!$B$70*(1+Assumptions!$B$46)^4</f>
        <v>23635.68501</v>
      </c>
    </row>
    <row r="51" customFormat="false" ht="15" hidden="false" customHeight="false" outlineLevel="0" collapsed="false">
      <c r="A51" s="12" t="s">
        <v>248</v>
      </c>
      <c r="B51" s="13"/>
      <c r="C51" s="13"/>
      <c r="D51" s="13"/>
      <c r="E51" s="13"/>
      <c r="F51" s="13"/>
      <c r="G51" s="13"/>
      <c r="H51" s="13"/>
    </row>
    <row r="52" customFormat="false" ht="15" hidden="false" customHeight="false" outlineLevel="0" collapsed="false">
      <c r="A52" s="3" t="s">
        <v>249</v>
      </c>
      <c r="C52" s="30" t="n">
        <f aca="false">C34-C40</f>
        <v>-80835.2505600001</v>
      </c>
      <c r="D52" s="30" t="n">
        <f aca="false">D34-D40</f>
        <v>100946.780216</v>
      </c>
      <c r="E52" s="30" t="n">
        <f aca="false">E34-E40</f>
        <v>220898.92602064</v>
      </c>
      <c r="F52" s="30" t="n">
        <f aca="false">F34-F40</f>
        <v>305325.376622929</v>
      </c>
      <c r="G52" s="30" t="n">
        <f aca="false">G34-G40</f>
        <v>359588.262212738</v>
      </c>
    </row>
    <row r="53" customFormat="false" ht="15" hidden="false" customHeight="false" outlineLevel="0" collapsed="false">
      <c r="A53" s="6" t="s">
        <v>250</v>
      </c>
      <c r="C53" s="28" t="n">
        <f aca="false">IF(C27=0,0,C52/C27)</f>
        <v>-0.143062975193787</v>
      </c>
      <c r="D53" s="28" t="n">
        <f aca="false">IF(D27=0,0,D52/D27)</f>
        <v>0.115981267721227</v>
      </c>
      <c r="E53" s="28" t="n">
        <f aca="false">IF(E27=0,0,E52/E27)</f>
        <v>0.204727513670068</v>
      </c>
      <c r="F53" s="28" t="n">
        <f aca="false">IF(F27=0,0,F52/F27)</f>
        <v>0.253896250642848</v>
      </c>
      <c r="G53" s="28" t="n">
        <f aca="false">IF(G27=0,0,G52/G27)</f>
        <v>0.276805647607562</v>
      </c>
    </row>
    <row r="54" customFormat="false" ht="15" hidden="false" customHeight="false" outlineLevel="0" collapsed="false">
      <c r="A54" s="6" t="s">
        <v>251</v>
      </c>
      <c r="C54" s="22" t="n">
        <f aca="false">Startup!E$32/Assumptions!$B$76</f>
        <v>122257.142857143</v>
      </c>
      <c r="D54" s="22" t="n">
        <f aca="false">Startup!E$32/Assumptions!$B$76</f>
        <v>122257.142857143</v>
      </c>
      <c r="E54" s="22" t="n">
        <f aca="false">Startup!E$32/Assumptions!$B$76</f>
        <v>122257.142857143</v>
      </c>
      <c r="F54" s="22" t="n">
        <f aca="false">Startup!E$32/Assumptions!$B$76</f>
        <v>122257.142857143</v>
      </c>
      <c r="G54" s="22" t="n">
        <f aca="false">Startup!E$32/Assumptions!$B$76</f>
        <v>122257.142857143</v>
      </c>
    </row>
    <row r="55" customFormat="false" ht="15" hidden="false" customHeight="false" outlineLevel="0" collapsed="false">
      <c r="A55" s="6" t="s">
        <v>252</v>
      </c>
      <c r="C55" s="22" t="n">
        <f aca="false">-IPMT(Assumptions!$B$74,1,Assumptions!$B$75,Startup!E$30)</f>
        <v>83178.47327296</v>
      </c>
      <c r="D55" s="22" t="n">
        <f aca="false">-IPMT(Assumptions!$B$74,2,Assumptions!$B$75,Startup!E$30)</f>
        <v>78021.6322007505</v>
      </c>
      <c r="E55" s="22" t="n">
        <f aca="false">-IPMT(Assumptions!$B$74,3,Assumptions!$B$75,Startup!E$30)</f>
        <v>72336.2149186396</v>
      </c>
      <c r="F55" s="22" t="n">
        <f aca="false">-IPMT(Assumptions!$B$74,4,Assumptions!$B$75,Startup!E$30)</f>
        <v>66068.0423651123</v>
      </c>
      <c r="G55" s="22" t="n">
        <f aca="false">-IPMT(Assumptions!$B$74,5,Assumptions!$B$75,Startup!E$30)</f>
        <v>59157.3821248484</v>
      </c>
    </row>
    <row r="56" customFormat="false" ht="15" hidden="false" customHeight="false" outlineLevel="0" collapsed="false">
      <c r="A56" s="3" t="s">
        <v>253</v>
      </c>
      <c r="C56" s="23" t="n">
        <f aca="false">C52-C54-C55</f>
        <v>-286270.866690103</v>
      </c>
      <c r="D56" s="23" t="n">
        <f aca="false">D52-D54-D55</f>
        <v>-99331.9948418936</v>
      </c>
      <c r="E56" s="23" t="n">
        <f aca="false">E52-E54-E55</f>
        <v>26305.5682448574</v>
      </c>
      <c r="F56" s="23" t="n">
        <f aca="false">F52-F54-F55</f>
        <v>117000.191400674</v>
      </c>
      <c r="G56" s="23" t="n">
        <f aca="false">G52-G54-G55</f>
        <v>178173.737230747</v>
      </c>
    </row>
    <row r="57" customFormat="false" ht="15" hidden="false" customHeight="false" outlineLevel="0" collapsed="false">
      <c r="A57" s="6" t="s">
        <v>254</v>
      </c>
      <c r="C57" s="22" t="n">
        <f aca="false">MAX(0,C56)*Assumptions!$B$77</f>
        <v>0</v>
      </c>
      <c r="D57" s="22" t="n">
        <f aca="false">MAX(0,D56)*Assumptions!$B$77</f>
        <v>0</v>
      </c>
      <c r="E57" s="22" t="n">
        <f aca="false">MAX(0,E56)*Assumptions!$B$77</f>
        <v>7365.55910856007</v>
      </c>
      <c r="F57" s="22" t="n">
        <f aca="false">MAX(0,F56)*Assumptions!$B$77</f>
        <v>32760.0535921886</v>
      </c>
      <c r="G57" s="22" t="n">
        <f aca="false">MAX(0,G56)*Assumptions!$B$77</f>
        <v>49888.6464246091</v>
      </c>
    </row>
    <row r="58" customFormat="false" ht="15" hidden="false" customHeight="false" outlineLevel="0" collapsed="false">
      <c r="A58" s="3" t="s">
        <v>255</v>
      </c>
      <c r="C58" s="30" t="n">
        <f aca="false">C56-C57</f>
        <v>-286270.866690103</v>
      </c>
      <c r="D58" s="30" t="n">
        <f aca="false">D56-D57</f>
        <v>-99331.9948418936</v>
      </c>
      <c r="E58" s="30" t="n">
        <f aca="false">E56-E57</f>
        <v>18940.0091362973</v>
      </c>
      <c r="F58" s="30" t="n">
        <f aca="false">F56-F57</f>
        <v>84240.137808485</v>
      </c>
      <c r="G58" s="30" t="n">
        <f aca="false">G56-G57</f>
        <v>128285.090806138</v>
      </c>
    </row>
    <row r="60" customFormat="false" ht="15" hidden="false" customHeight="false" outlineLevel="0" collapsed="false">
      <c r="A60" s="12" t="s">
        <v>256</v>
      </c>
      <c r="B60" s="13"/>
      <c r="C60" s="13"/>
      <c r="D60" s="13"/>
      <c r="E60" s="13"/>
      <c r="F60" s="13"/>
      <c r="G60" s="13"/>
      <c r="H60" s="13"/>
    </row>
    <row r="61" customFormat="false" ht="15" hidden="false" customHeight="false" outlineLevel="0" collapsed="false">
      <c r="A61" s="6" t="s">
        <v>249</v>
      </c>
      <c r="C61" s="22" t="n">
        <f aca="false">C52</f>
        <v>-80835.2505600001</v>
      </c>
      <c r="D61" s="22" t="n">
        <f aca="false">D52</f>
        <v>100946.780216</v>
      </c>
      <c r="E61" s="22" t="n">
        <f aca="false">E52</f>
        <v>220898.92602064</v>
      </c>
      <c r="F61" s="22" t="n">
        <f aca="false">F52</f>
        <v>305325.376622929</v>
      </c>
      <c r="G61" s="22" t="n">
        <f aca="false">G52</f>
        <v>359588.262212738</v>
      </c>
    </row>
    <row r="62" customFormat="false" ht="15" hidden="false" customHeight="false" outlineLevel="0" collapsed="false">
      <c r="A62" s="6" t="s">
        <v>257</v>
      </c>
      <c r="C62" s="22" t="n">
        <f aca="false">-Startup!E$31</f>
        <v>-133489.117879882</v>
      </c>
      <c r="D62" s="22" t="n">
        <f aca="false">-Startup!E$31</f>
        <v>-133489.117879882</v>
      </c>
      <c r="E62" s="22" t="n">
        <f aca="false">-Startup!E$31</f>
        <v>-133489.117879882</v>
      </c>
      <c r="F62" s="22" t="n">
        <f aca="false">-Startup!E$31</f>
        <v>-133489.117879882</v>
      </c>
      <c r="G62" s="22" t="n">
        <f aca="false">-Startup!E$31</f>
        <v>-133489.117879882</v>
      </c>
    </row>
    <row r="63" customFormat="false" ht="15" hidden="false" customHeight="false" outlineLevel="0" collapsed="false">
      <c r="A63" s="6" t="s">
        <v>258</v>
      </c>
      <c r="C63" s="22" t="n">
        <f aca="false">-C57</f>
        <v>-0</v>
      </c>
      <c r="D63" s="22" t="n">
        <f aca="false">-D57</f>
        <v>-0</v>
      </c>
      <c r="E63" s="22" t="n">
        <f aca="false">-E57</f>
        <v>-7365.55910856007</v>
      </c>
      <c r="F63" s="22" t="n">
        <f aca="false">-F57</f>
        <v>-32760.0535921886</v>
      </c>
      <c r="G63" s="22" t="n">
        <f aca="false">-G57</f>
        <v>-49888.6464246091</v>
      </c>
    </row>
    <row r="64" customFormat="false" ht="15" hidden="false" customHeight="false" outlineLevel="0" collapsed="false">
      <c r="A64" s="6" t="s">
        <v>259</v>
      </c>
      <c r="C64" s="22" t="n">
        <f aca="false">-C27*0.02</f>
        <v>-11300.6528</v>
      </c>
      <c r="D64" s="22" t="n">
        <f aca="false">-D27*0.02</f>
        <v>-17407.42832</v>
      </c>
      <c r="E64" s="22" t="n">
        <f aca="false">-E27*0.02</f>
        <v>-21579.7986368</v>
      </c>
      <c r="F64" s="22" t="n">
        <f aca="false">-F27*0.02</f>
        <v>-24051.192236976</v>
      </c>
      <c r="G64" s="22" t="n">
        <f aca="false">-G27*0.02</f>
        <v>-25981.280752085</v>
      </c>
      <c r="H64" s="2" t="s">
        <v>260</v>
      </c>
    </row>
    <row r="65" customFormat="false" ht="15" hidden="false" customHeight="false" outlineLevel="0" collapsed="false">
      <c r="A65" s="3" t="s">
        <v>261</v>
      </c>
      <c r="C65" s="23" t="n">
        <f aca="false">SUM(C61:C64)</f>
        <v>-225625.021239882</v>
      </c>
      <c r="D65" s="23" t="n">
        <f aca="false">SUM(D61:D64)</f>
        <v>-49949.7659838818</v>
      </c>
      <c r="E65" s="23" t="n">
        <f aca="false">SUM(E61:E64)</f>
        <v>58464.4503953982</v>
      </c>
      <c r="F65" s="23" t="n">
        <f aca="false">SUM(F61:F64)</f>
        <v>115025.012913883</v>
      </c>
      <c r="G65" s="23" t="n">
        <f aca="false">SUM(G61:G64)</f>
        <v>150229.217156162</v>
      </c>
    </row>
    <row r="66" customFormat="false" ht="15" hidden="false" customHeight="false" outlineLevel="0" collapsed="false">
      <c r="A66" s="6" t="s">
        <v>262</v>
      </c>
      <c r="C66" s="22" t="n">
        <f aca="false">C65</f>
        <v>-225625.021239882</v>
      </c>
      <c r="D66" s="22" t="n">
        <f aca="false">C66+D65</f>
        <v>-275574.787223764</v>
      </c>
      <c r="E66" s="22" t="n">
        <f aca="false">D66+E65</f>
        <v>-217110.336828365</v>
      </c>
      <c r="F66" s="22" t="n">
        <f aca="false">E66+F65</f>
        <v>-102085.323914483</v>
      </c>
      <c r="G66" s="22" t="n">
        <f aca="false">F66+G65</f>
        <v>48143.8932416796</v>
      </c>
    </row>
    <row r="67" customFormat="false" ht="15" hidden="false" customHeight="false" outlineLevel="0" collapsed="false">
      <c r="A67" s="6" t="s">
        <v>263</v>
      </c>
      <c r="C67" s="31" t="n">
        <f aca="false">IF(Startup!E$31=0,0,(C61+C63+C64)/Startup!E$31)</f>
        <v>-0.690212841491</v>
      </c>
      <c r="D67" s="31" t="n">
        <f aca="false">IF(Startup!E$31=0,0,(D61+D63+D64)/Startup!E$31)</f>
        <v>0.625813948153973</v>
      </c>
      <c r="E67" s="31" t="n">
        <f aca="false">IF(Startup!E$31=0,0,(E61+E63+E64)/Startup!E$31)</f>
        <v>1.43797165884343</v>
      </c>
      <c r="F67" s="31" t="n">
        <f aca="false">IF(Startup!E$31=0,0,(F61+F63+F64)/Startup!E$31)</f>
        <v>1.86168082268239</v>
      </c>
      <c r="G67" s="31" t="n">
        <f aca="false">IF(Startup!E$31=0,0,(G61+G63+G64)/Startup!E$31)</f>
        <v>2.12540422427051</v>
      </c>
      <c r="H67" s="2" t="s">
        <v>264</v>
      </c>
    </row>
    <row r="68" customFormat="false" ht="15" hidden="false" customHeight="false" outlineLevel="0" collapsed="false">
      <c r="A68" s="6" t="s">
        <v>265</v>
      </c>
      <c r="C68" s="22" t="n">
        <f aca="false">C27/$B$4</f>
        <v>141258.16</v>
      </c>
      <c r="D68" s="22" t="n">
        <f aca="false">D27/$B$4</f>
        <v>217592.854</v>
      </c>
      <c r="E68" s="22" t="n">
        <f aca="false">E27/$B$4</f>
        <v>269747.48296</v>
      </c>
      <c r="F68" s="22" t="n">
        <f aca="false">F27/$B$4</f>
        <v>300639.9029622</v>
      </c>
      <c r="G68" s="22" t="n">
        <f aca="false">G27/$B$4</f>
        <v>324766.009401062</v>
      </c>
    </row>
    <row r="69" customFormat="false" ht="15" hidden="false" customHeight="false" outlineLevel="0" collapsed="false">
      <c r="A69" s="6" t="s">
        <v>266</v>
      </c>
      <c r="C69" s="28" t="n">
        <f aca="false">IF(C27=0,0,C24/C27)</f>
        <v>0.231660953250418</v>
      </c>
      <c r="D69" s="28" t="n">
        <f aca="false">IF(D27=0,0,D24/D27)</f>
        <v>0.258518600063953</v>
      </c>
      <c r="E69" s="28" t="n">
        <f aca="false">IF(E27=0,0,E24/E27)</f>
        <v>0.265663928403093</v>
      </c>
      <c r="F69" s="28" t="n">
        <f aca="false">IF(F27=0,0,F24/F27)</f>
        <v>0.260640406239927</v>
      </c>
      <c r="G69" s="28" t="n">
        <f aca="false">IF(G27=0,0,G24/G27)</f>
        <v>0.260890973617767</v>
      </c>
    </row>
    <row r="70" customFormat="false" ht="15" hidden="false" customHeight="false" outlineLevel="0" collapsed="false">
      <c r="A70" s="6" t="s">
        <v>267</v>
      </c>
      <c r="C70" s="28" t="n">
        <f aca="false">IF(C27=0,0,C20/C27)</f>
        <v>0.0239765263826175</v>
      </c>
      <c r="D70" s="28" t="n">
        <f aca="false">IF(D27=0,0,D20/D27)</f>
        <v>0.0300603254185912</v>
      </c>
      <c r="E70" s="28" t="n">
        <f aca="false">IF(E27=0,0,E20/E27)</f>
        <v>0.0333009686742176</v>
      </c>
      <c r="F70" s="28" t="n">
        <f aca="false">IF(F27=0,0,F20/F27)</f>
        <v>0.034622417745088</v>
      </c>
      <c r="G70" s="28" t="n">
        <f aca="false">IF(G27=0,0,G20/G27)</f>
        <v>0.0345839071566191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  <col collapsed="false" customWidth="true" hidden="false" outlineLevel="0" max="6" min="5" style="0" width="16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270</v>
      </c>
    </row>
    <row r="2" customFormat="false" ht="15" hidden="false" customHeight="false" outlineLevel="0" collapsed="false">
      <c r="A2" s="2" t="s">
        <v>271</v>
      </c>
    </row>
    <row r="4" customFormat="false" ht="15" hidden="false" customHeight="false" outlineLevel="0" collapsed="false">
      <c r="A4" s="5" t="s">
        <v>272</v>
      </c>
      <c r="B4" s="5" t="s">
        <v>273</v>
      </c>
      <c r="C4" s="5" t="s">
        <v>274</v>
      </c>
      <c r="D4" s="5" t="s">
        <v>275</v>
      </c>
      <c r="E4" s="5" t="s">
        <v>276</v>
      </c>
      <c r="F4" s="5"/>
      <c r="G4" s="5" t="s">
        <v>277</v>
      </c>
    </row>
    <row r="5" customFormat="false" ht="42" hidden="false" customHeight="true" outlineLevel="0" collapsed="false">
      <c r="A5" s="6" t="s">
        <v>278</v>
      </c>
      <c r="B5" s="18" t="n">
        <v>119</v>
      </c>
      <c r="C5" s="18" t="n">
        <v>1190</v>
      </c>
      <c r="D5" s="16" t="n">
        <v>0.3</v>
      </c>
      <c r="E5" s="32" t="n">
        <f aca="false">B5*D5</f>
        <v>35.7</v>
      </c>
      <c r="G5" s="33" t="s">
        <v>279</v>
      </c>
    </row>
    <row r="6" customFormat="false" ht="42" hidden="false" customHeight="true" outlineLevel="0" collapsed="false">
      <c r="A6" s="6" t="s">
        <v>280</v>
      </c>
      <c r="B6" s="18" t="n">
        <v>199</v>
      </c>
      <c r="C6" s="18" t="n">
        <v>1990</v>
      </c>
      <c r="D6" s="16" t="n">
        <v>0.45</v>
      </c>
      <c r="E6" s="32" t="n">
        <f aca="false">B6*D6</f>
        <v>89.55</v>
      </c>
      <c r="G6" s="33" t="s">
        <v>281</v>
      </c>
    </row>
    <row r="7" customFormat="false" ht="42" hidden="false" customHeight="true" outlineLevel="0" collapsed="false">
      <c r="A7" s="6" t="s">
        <v>282</v>
      </c>
      <c r="B7" s="18" t="n">
        <v>299</v>
      </c>
      <c r="C7" s="18" t="n">
        <v>2400</v>
      </c>
      <c r="D7" s="16" t="n">
        <v>0.2</v>
      </c>
      <c r="E7" s="32" t="n">
        <f aca="false">B7*D7</f>
        <v>59.8</v>
      </c>
      <c r="G7" s="33" t="s">
        <v>283</v>
      </c>
    </row>
    <row r="8" customFormat="false" ht="42" hidden="false" customHeight="true" outlineLevel="0" collapsed="false">
      <c r="A8" s="6" t="s">
        <v>284</v>
      </c>
      <c r="B8" s="18" t="n">
        <v>249</v>
      </c>
      <c r="C8" s="18" t="n">
        <v>2490</v>
      </c>
      <c r="D8" s="16" t="n">
        <v>0.05</v>
      </c>
      <c r="E8" s="32" t="n">
        <f aca="false">B8*D8</f>
        <v>12.45</v>
      </c>
      <c r="G8" s="33" t="s">
        <v>285</v>
      </c>
    </row>
    <row r="10" customFormat="false" ht="15" hidden="false" customHeight="false" outlineLevel="0" collapsed="false">
      <c r="A10" s="0" t="s">
        <v>286</v>
      </c>
      <c r="D10" s="34" t="n">
        <f aca="false">SUM(D5:D8)</f>
        <v>1</v>
      </c>
    </row>
    <row r="12" customFormat="false" ht="15" hidden="false" customHeight="false" outlineLevel="0" collapsed="false">
      <c r="A12" s="3" t="s">
        <v>287</v>
      </c>
      <c r="F12" s="35" t="n">
        <f aca="false">IF(D10=0,0,SUM(E5:E8)/D10)</f>
        <v>197.5</v>
      </c>
    </row>
    <row r="14" customFormat="false" ht="15" hidden="false" customHeight="false" outlineLevel="0" collapsed="false">
      <c r="A14" s="0" t="s">
        <v>288</v>
      </c>
      <c r="B14" s="18" t="n">
        <v>49</v>
      </c>
      <c r="G14" s="2" t="s">
        <v>289</v>
      </c>
    </row>
    <row r="15" customFormat="false" ht="15" hidden="false" customHeight="false" outlineLevel="0" collapsed="false">
      <c r="A15" s="0" t="s">
        <v>290</v>
      </c>
      <c r="B15" s="18" t="n">
        <v>0</v>
      </c>
      <c r="G15" s="2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292</v>
      </c>
    </row>
    <row r="2" customFormat="false" ht="15" hidden="false" customHeight="false" outlineLevel="0" collapsed="false">
      <c r="A2" s="2" t="s">
        <v>293</v>
      </c>
    </row>
    <row r="4" customFormat="false" ht="15" hidden="false" customHeight="false" outlineLevel="0" collapsed="false">
      <c r="A4" s="5" t="s">
        <v>202</v>
      </c>
      <c r="B4" s="5" t="s">
        <v>55</v>
      </c>
      <c r="C4" s="5" t="s">
        <v>56</v>
      </c>
      <c r="D4" s="5" t="s">
        <v>57</v>
      </c>
      <c r="E4" s="5" t="s">
        <v>294</v>
      </c>
    </row>
    <row r="5" customFormat="false" ht="15" hidden="false" customHeight="false" outlineLevel="0" collapsed="false">
      <c r="A5" s="12" t="s">
        <v>295</v>
      </c>
      <c r="B5" s="13"/>
      <c r="C5" s="13"/>
      <c r="D5" s="13"/>
      <c r="E5" s="13"/>
    </row>
    <row r="6" customFormat="false" ht="15" hidden="false" customHeight="false" outlineLevel="0" collapsed="false">
      <c r="A6" s="6" t="s">
        <v>296</v>
      </c>
      <c r="B6" s="14" t="n">
        <v>240</v>
      </c>
      <c r="C6" s="14" t="n">
        <v>480</v>
      </c>
      <c r="D6" s="14" t="n">
        <v>720</v>
      </c>
      <c r="E6" s="2" t="s">
        <v>297</v>
      </c>
    </row>
    <row r="7" customFormat="false" ht="15" hidden="false" customHeight="false" outlineLevel="0" collapsed="false">
      <c r="A7" s="6" t="s">
        <v>298</v>
      </c>
      <c r="B7" s="8" t="n">
        <f aca="false">'P&amp;L 4-Bay'!C12</f>
        <v>451.584</v>
      </c>
      <c r="C7" s="8" t="n">
        <f aca="false">'P&amp;L 4-Bay'!D12</f>
        <v>846.72</v>
      </c>
      <c r="D7" s="8" t="n">
        <f aca="false">'P&amp;L 4-Bay'!E12</f>
        <v>1128.96</v>
      </c>
      <c r="E7" s="2" t="s">
        <v>299</v>
      </c>
    </row>
    <row r="9" customFormat="false" ht="15" hidden="false" customHeight="false" outlineLevel="0" collapsed="false">
      <c r="A9" s="12" t="s">
        <v>300</v>
      </c>
      <c r="B9" s="13"/>
      <c r="C9" s="13"/>
      <c r="D9" s="13"/>
      <c r="E9" s="13"/>
    </row>
    <row r="10" customFormat="false" ht="15" hidden="false" customHeight="false" outlineLevel="0" collapsed="false">
      <c r="A10" s="6" t="s">
        <v>301</v>
      </c>
      <c r="B10" s="18" t="n">
        <v>24000</v>
      </c>
      <c r="C10" s="18" t="n">
        <v>48000</v>
      </c>
      <c r="D10" s="18" t="n">
        <v>80000</v>
      </c>
      <c r="E10" s="2" t="s">
        <v>302</v>
      </c>
    </row>
    <row r="11" customFormat="false" ht="15" hidden="false" customHeight="false" outlineLevel="0" collapsed="false">
      <c r="A11" s="6" t="s">
        <v>303</v>
      </c>
      <c r="B11" s="18" t="n">
        <v>15000</v>
      </c>
      <c r="C11" s="18" t="n">
        <v>25000</v>
      </c>
      <c r="D11" s="18" t="n">
        <v>35000</v>
      </c>
      <c r="E11" s="2" t="s">
        <v>304</v>
      </c>
    </row>
    <row r="12" customFormat="false" ht="15" hidden="false" customHeight="false" outlineLevel="0" collapsed="false">
      <c r="A12" s="6" t="s">
        <v>305</v>
      </c>
      <c r="B12" s="18" t="n">
        <v>30000</v>
      </c>
      <c r="C12" s="18" t="n">
        <v>45000</v>
      </c>
      <c r="D12" s="18" t="n">
        <v>50000</v>
      </c>
      <c r="E12" s="2" t="s">
        <v>306</v>
      </c>
    </row>
    <row r="13" customFormat="false" ht="15" hidden="false" customHeight="false" outlineLevel="0" collapsed="false">
      <c r="A13" s="6" t="s">
        <v>307</v>
      </c>
      <c r="B13" s="18" t="n">
        <v>15000</v>
      </c>
      <c r="C13" s="18" t="n">
        <v>20000</v>
      </c>
      <c r="D13" s="18" t="n">
        <v>25000</v>
      </c>
      <c r="E13" s="2" t="s">
        <v>308</v>
      </c>
    </row>
    <row r="14" customFormat="false" ht="15" hidden="false" customHeight="false" outlineLevel="0" collapsed="false">
      <c r="A14" s="6" t="s">
        <v>309</v>
      </c>
      <c r="B14" s="18" t="n">
        <v>10000</v>
      </c>
      <c r="C14" s="18" t="n">
        <v>18000</v>
      </c>
      <c r="D14" s="18" t="n">
        <v>25000</v>
      </c>
      <c r="E14" s="2" t="s">
        <v>310</v>
      </c>
    </row>
    <row r="15" customFormat="false" ht="15" hidden="false" customHeight="false" outlineLevel="0" collapsed="false">
      <c r="A15" s="6" t="s">
        <v>311</v>
      </c>
      <c r="B15" s="18" t="n">
        <v>8000</v>
      </c>
      <c r="C15" s="18" t="n">
        <v>15000</v>
      </c>
      <c r="D15" s="18" t="n">
        <v>24000</v>
      </c>
      <c r="E15" s="2" t="s">
        <v>312</v>
      </c>
    </row>
    <row r="16" customFormat="false" ht="15" hidden="false" customHeight="false" outlineLevel="0" collapsed="false">
      <c r="A16" s="6" t="s">
        <v>313</v>
      </c>
      <c r="B16" s="18" t="n">
        <v>12000</v>
      </c>
      <c r="C16" s="18" t="n">
        <v>20000</v>
      </c>
      <c r="D16" s="18" t="n">
        <v>28000</v>
      </c>
    </row>
    <row r="17" customFormat="false" ht="15" hidden="false" customHeight="false" outlineLevel="0" collapsed="false">
      <c r="A17" s="3" t="s">
        <v>314</v>
      </c>
      <c r="B17" s="23" t="n">
        <f aca="false">SUM(B10:B16)</f>
        <v>114000</v>
      </c>
      <c r="C17" s="23" t="n">
        <f aca="false">SUM(C10:C16)</f>
        <v>191000</v>
      </c>
      <c r="D17" s="23" t="n">
        <f aca="false">SUM(D10:D16)</f>
        <v>267000</v>
      </c>
    </row>
    <row r="19" customFormat="false" ht="15" hidden="false" customHeight="false" outlineLevel="0" collapsed="false">
      <c r="A19" s="12" t="s">
        <v>315</v>
      </c>
      <c r="B19" s="13"/>
      <c r="C19" s="13"/>
      <c r="D19" s="13"/>
      <c r="E19" s="13"/>
    </row>
    <row r="20" customFormat="false" ht="15" hidden="false" customHeight="false" outlineLevel="0" collapsed="false">
      <c r="A20" s="6" t="s">
        <v>316</v>
      </c>
      <c r="B20" s="7" t="n">
        <f aca="false">B7*Assumptions!$B$12</f>
        <v>13547.52</v>
      </c>
      <c r="C20" s="7" t="n">
        <f aca="false">C7*Assumptions!$B$12*(1+Assumptions!$B$13)</f>
        <v>26163.648</v>
      </c>
      <c r="D20" s="7" t="n">
        <f aca="false">D7*Assumptions!$B$12*(1+Assumptions!$B$13)^2</f>
        <v>35931.40992</v>
      </c>
      <c r="E20" s="2" t="s">
        <v>317</v>
      </c>
    </row>
    <row r="21" customFormat="false" ht="15" hidden="false" customHeight="false" outlineLevel="0" collapsed="false">
      <c r="A21" s="6" t="s">
        <v>318</v>
      </c>
      <c r="B21" s="7" t="n">
        <f aca="false">Assumptions!$B$51*Assumptions!$B$52*(1+Assumptions!$B$58)</f>
        <v>33060</v>
      </c>
      <c r="C21" s="7" t="n">
        <f aca="false">Assumptions!$B$51*Assumptions!$B$52*(1+Assumptions!$B$58)*(1+Assumptions!$B$59)</f>
        <v>34051.8</v>
      </c>
      <c r="D21" s="7" t="n">
        <f aca="false">Assumptions!$B$51*Assumptions!$B$52*(1+Assumptions!$B$58)*(1+Assumptions!$B$59)^2</f>
        <v>35073.354</v>
      </c>
      <c r="E21" s="2" t="s">
        <v>319</v>
      </c>
    </row>
    <row r="22" customFormat="false" ht="15" hidden="false" customHeight="false" outlineLevel="0" collapsed="false">
      <c r="A22" s="6" t="s">
        <v>320</v>
      </c>
      <c r="B22" s="18" t="n">
        <v>22000</v>
      </c>
      <c r="C22" s="18" t="n">
        <v>42000</v>
      </c>
      <c r="D22" s="18" t="n">
        <v>46000</v>
      </c>
      <c r="E22" s="2" t="s">
        <v>321</v>
      </c>
    </row>
    <row r="23" customFormat="false" ht="15" hidden="false" customHeight="false" outlineLevel="0" collapsed="false">
      <c r="A23" s="6" t="s">
        <v>322</v>
      </c>
      <c r="B23" s="18" t="n">
        <v>12000</v>
      </c>
      <c r="C23" s="18" t="n">
        <v>15000</v>
      </c>
      <c r="D23" s="18" t="n">
        <v>15000</v>
      </c>
      <c r="E23" s="2" t="s">
        <v>323</v>
      </c>
    </row>
    <row r="24" customFormat="false" ht="15" hidden="false" customHeight="false" outlineLevel="0" collapsed="false">
      <c r="A24" s="6" t="s">
        <v>324</v>
      </c>
      <c r="B24" s="18" t="n">
        <v>9000</v>
      </c>
      <c r="C24" s="18" t="n">
        <v>18000</v>
      </c>
      <c r="D24" s="18" t="n">
        <v>27000</v>
      </c>
      <c r="E24" s="2" t="s">
        <v>325</v>
      </c>
    </row>
    <row r="25" customFormat="false" ht="15" hidden="false" customHeight="false" outlineLevel="0" collapsed="false">
      <c r="A25" s="6" t="s">
        <v>326</v>
      </c>
      <c r="B25" s="18" t="n">
        <v>8000</v>
      </c>
      <c r="C25" s="18" t="n">
        <v>12000</v>
      </c>
      <c r="D25" s="18" t="n">
        <v>15000</v>
      </c>
      <c r="E25" s="2" t="s">
        <v>327</v>
      </c>
    </row>
    <row r="26" customFormat="false" ht="15" hidden="false" customHeight="false" outlineLevel="0" collapsed="false">
      <c r="A26" s="6" t="s">
        <v>328</v>
      </c>
      <c r="B26" s="18" t="n">
        <v>6000</v>
      </c>
      <c r="C26" s="18" t="n">
        <v>15000</v>
      </c>
      <c r="D26" s="18" t="n">
        <v>25000</v>
      </c>
      <c r="E26" s="2" t="s">
        <v>329</v>
      </c>
    </row>
    <row r="27" customFormat="false" ht="15" hidden="false" customHeight="false" outlineLevel="0" collapsed="false">
      <c r="A27" s="6" t="s">
        <v>330</v>
      </c>
      <c r="B27" s="18" t="n">
        <v>5000</v>
      </c>
      <c r="C27" s="18" t="n">
        <v>9000</v>
      </c>
      <c r="D27" s="18" t="n">
        <v>12000</v>
      </c>
      <c r="E27" s="2" t="s">
        <v>331</v>
      </c>
    </row>
    <row r="28" customFormat="false" ht="15" hidden="false" customHeight="false" outlineLevel="0" collapsed="false">
      <c r="A28" s="6" t="s">
        <v>332</v>
      </c>
      <c r="B28" s="18" t="n">
        <v>7000</v>
      </c>
      <c r="C28" s="18" t="n">
        <v>11000</v>
      </c>
      <c r="D28" s="18" t="n">
        <v>14000</v>
      </c>
    </row>
    <row r="29" customFormat="false" ht="15" hidden="false" customHeight="false" outlineLevel="0" collapsed="false">
      <c r="A29" s="3" t="s">
        <v>333</v>
      </c>
      <c r="B29" s="23" t="n">
        <f aca="false">SUM(B20:B28)</f>
        <v>115607.52</v>
      </c>
      <c r="C29" s="23" t="n">
        <f aca="false">SUM(C20:C28)</f>
        <v>182215.448</v>
      </c>
      <c r="D29" s="23" t="n">
        <f aca="false">SUM(D20:D28)</f>
        <v>225004.76392</v>
      </c>
    </row>
    <row r="31" customFormat="false" ht="15" hidden="false" customHeight="false" outlineLevel="0" collapsed="false">
      <c r="A31" s="3" t="s">
        <v>334</v>
      </c>
      <c r="B31" s="30" t="n">
        <f aca="false">B17-B29</f>
        <v>-1607.52</v>
      </c>
      <c r="C31" s="30" t="n">
        <f aca="false">C17-C29</f>
        <v>8784.552</v>
      </c>
      <c r="D31" s="30" t="n">
        <f aca="false">D17-D29</f>
        <v>41995.23608</v>
      </c>
      <c r="E31" s="2" t="s">
        <v>335</v>
      </c>
    </row>
    <row r="32" customFormat="false" ht="15" hidden="false" customHeight="false" outlineLevel="0" collapsed="false">
      <c r="A32" s="6" t="s">
        <v>336</v>
      </c>
      <c r="B32" s="22" t="n">
        <f aca="false">IF(B6=0,0,B29/B6)</f>
        <v>481.698</v>
      </c>
      <c r="C32" s="22" t="n">
        <f aca="false">IF(C6=0,0,C29/C6)</f>
        <v>379.615516666667</v>
      </c>
      <c r="D32" s="22" t="n">
        <f aca="false">IF(D6=0,0,D29/D6)</f>
        <v>312.506616555556</v>
      </c>
      <c r="E32" s="2" t="s">
        <v>337</v>
      </c>
    </row>
    <row r="33" customFormat="false" ht="15" hidden="false" customHeight="false" outlineLevel="0" collapsed="false">
      <c r="A33" s="3" t="s">
        <v>338</v>
      </c>
      <c r="B33" s="30" t="n">
        <f aca="false">B20+B21</f>
        <v>46607.52</v>
      </c>
      <c r="C33" s="30" t="n">
        <f aca="false">C20+C21</f>
        <v>60215.448</v>
      </c>
      <c r="D33" s="30" t="n">
        <f aca="false">D20+D21</f>
        <v>71004.76392</v>
      </c>
      <c r="E33" s="2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340</v>
      </c>
    </row>
    <row r="2" customFormat="false" ht="15" hidden="false" customHeight="false" outlineLevel="0" collapsed="false">
      <c r="A2" s="2" t="s">
        <v>341</v>
      </c>
    </row>
    <row r="4" customFormat="false" ht="15" hidden="false" customHeight="false" outlineLevel="0" collapsed="false">
      <c r="A4" s="0" t="s">
        <v>342</v>
      </c>
      <c r="B4" s="7" t="n">
        <f aca="false">'P&amp;L 4-Bay'!E52</f>
        <v>220898.92602064</v>
      </c>
    </row>
    <row r="5" customFormat="false" ht="15" hidden="false" customHeight="false" outlineLevel="0" collapsed="false">
      <c r="A5" s="0" t="s">
        <v>343</v>
      </c>
      <c r="B5" s="9" t="n">
        <f aca="false">'P&amp;L 4-Bay'!E9</f>
        <v>0.4</v>
      </c>
    </row>
    <row r="6" customFormat="false" ht="15" hidden="false" customHeight="false" outlineLevel="0" collapsed="false">
      <c r="A6" s="0" t="s">
        <v>344</v>
      </c>
      <c r="B6" s="7" t="n">
        <f aca="false">Assumptions!$B$11*(1+Assumptions!$B$13)^2</f>
        <v>47.7405</v>
      </c>
    </row>
    <row r="7" customFormat="false" ht="15" hidden="false" customHeight="false" outlineLevel="0" collapsed="false">
      <c r="A7" s="0" t="s">
        <v>345</v>
      </c>
      <c r="B7" s="8" t="n">
        <f aca="false">'P&amp;L 4-Bay'!B5</f>
        <v>20160</v>
      </c>
    </row>
    <row r="8" customFormat="false" ht="15" hidden="false" customHeight="false" outlineLevel="0" collapsed="false">
      <c r="A8" s="0" t="s">
        <v>346</v>
      </c>
      <c r="B8" s="9" t="n">
        <f aca="false">1-Assumptions!$B$9-Assumptions!$D$10</f>
        <v>0.51</v>
      </c>
    </row>
    <row r="9" customFormat="false" ht="15" hidden="false" customHeight="false" outlineLevel="0" collapsed="false">
      <c r="A9" s="0" t="s">
        <v>347</v>
      </c>
      <c r="B9" s="7" t="n">
        <f aca="false">Assumptions!$D$35</f>
        <v>31</v>
      </c>
    </row>
    <row r="10" customFormat="false" ht="15" hidden="false" customHeight="false" outlineLevel="0" collapsed="false">
      <c r="A10" s="0" t="s">
        <v>348</v>
      </c>
      <c r="B10" s="9" t="n">
        <f aca="false">Assumptions!$D$66+Assumptions!$B$67+Assumptions!$B$68+Assumptions!$B$69</f>
        <v>0.104</v>
      </c>
    </row>
    <row r="11" customFormat="false" ht="15" hidden="false" customHeight="false" outlineLevel="0" collapsed="false">
      <c r="A11" s="0" t="s">
        <v>349</v>
      </c>
      <c r="B11" s="9" t="n">
        <f aca="false">Assumptions!$B$37</f>
        <v>0.34</v>
      </c>
    </row>
    <row r="13" customFormat="false" ht="15" hidden="false" customHeight="false" outlineLevel="0" collapsed="false">
      <c r="A13" s="5" t="s">
        <v>350</v>
      </c>
      <c r="B13" s="36" t="n">
        <v>35</v>
      </c>
      <c r="C13" s="36" t="n">
        <v>40</v>
      </c>
      <c r="D13" s="36" t="n">
        <v>45</v>
      </c>
      <c r="E13" s="36" t="n">
        <v>50</v>
      </c>
      <c r="F13" s="36" t="n">
        <v>55</v>
      </c>
    </row>
    <row r="14" customFormat="false" ht="15" hidden="false" customHeight="false" outlineLevel="0" collapsed="false">
      <c r="A14" s="37" t="n">
        <v>0.25</v>
      </c>
      <c r="B14" s="32" t="n">
        <f aca="false">$B$4+(($A14*B$13*(1+Assumptions!$B$13)^2-$B$5*$B$6)*$B$7*$B$8)*(1-$B$10)+(($A14-$B$5)*$B$7*$B$9)*(1-$B$11-$B$10)</f>
        <v>78373.8346619198</v>
      </c>
      <c r="C14" s="32" t="n">
        <f aca="false">$B$4+(($A14*C$13*(1+Assumptions!$B$13)^2-$B$5*$B$6)*$B$7*$B$8)*(1-$B$10)+(($A14-$B$5)*$B$7*$B$9)*(1-$B$11-$B$10)</f>
        <v>90590.5140347198</v>
      </c>
      <c r="D14" s="32" t="n">
        <f aca="false">$B$4+(($A14*D$13*(1+Assumptions!$B$13)^2-$B$5*$B$6)*$B$7*$B$8)*(1-$B$10)+(($A14-$B$5)*$B$7*$B$9)*(1-$B$11-$B$10)</f>
        <v>102807.19340752</v>
      </c>
      <c r="E14" s="32" t="n">
        <f aca="false">$B$4+(($A14*E$13*(1+Assumptions!$B$13)^2-$B$5*$B$6)*$B$7*$B$8)*(1-$B$10)+(($A14-$B$5)*$B$7*$B$9)*(1-$B$11-$B$10)</f>
        <v>115023.87278032</v>
      </c>
      <c r="F14" s="32" t="n">
        <f aca="false">$B$4+(($A14*F$13*(1+Assumptions!$B$13)^2-$B$5*$B$6)*$B$7*$B$8)*(1-$B$10)+(($A14-$B$5)*$B$7*$B$9)*(1-$B$11-$B$10)</f>
        <v>127240.55215312</v>
      </c>
    </row>
    <row r="15" customFormat="false" ht="15" hidden="false" customHeight="false" outlineLevel="0" collapsed="false">
      <c r="A15" s="37" t="n">
        <v>0.3</v>
      </c>
      <c r="B15" s="32" t="n">
        <f aca="false">$B$4+(($A15*B$13*(1+Assumptions!$B$13)^2-$B$5*$B$6)*$B$7*$B$8)*(1-$B$10)+(($A15-$B$5)*$B$7*$B$9)*(1-$B$11-$B$10)</f>
        <v>112851.07378384</v>
      </c>
      <c r="C15" s="32" t="n">
        <f aca="false">$B$4+(($A15*C$13*(1+Assumptions!$B$13)^2-$B$5*$B$6)*$B$7*$B$8)*(1-$B$10)+(($A15-$B$5)*$B$7*$B$9)*(1-$B$11-$B$10)</f>
        <v>127511.0890312</v>
      </c>
      <c r="D15" s="32" t="n">
        <f aca="false">$B$4+(($A15*D$13*(1+Assumptions!$B$13)^2-$B$5*$B$6)*$B$7*$B$8)*(1-$B$10)+(($A15-$B$5)*$B$7*$B$9)*(1-$B$11-$B$10)</f>
        <v>142171.10427856</v>
      </c>
      <c r="E15" s="32" t="n">
        <f aca="false">$B$4+(($A15*E$13*(1+Assumptions!$B$13)^2-$B$5*$B$6)*$B$7*$B$8)*(1-$B$10)+(($A15-$B$5)*$B$7*$B$9)*(1-$B$11-$B$10)</f>
        <v>156831.11952592</v>
      </c>
      <c r="F15" s="32" t="n">
        <f aca="false">$B$4+(($A15*F$13*(1+Assumptions!$B$13)^2-$B$5*$B$6)*$B$7*$B$8)*(1-$B$10)+(($A15-$B$5)*$B$7*$B$9)*(1-$B$11-$B$10)</f>
        <v>171491.13477328</v>
      </c>
    </row>
    <row r="16" customFormat="false" ht="15" hidden="false" customHeight="false" outlineLevel="0" collapsed="false">
      <c r="A16" s="37" t="n">
        <v>0.35</v>
      </c>
      <c r="B16" s="32" t="n">
        <f aca="false">$B$4+(($A16*B$13*(1+Assumptions!$B$13)^2-$B$5*$B$6)*$B$7*$B$8)*(1-$B$10)+(($A16-$B$5)*$B$7*$B$9)*(1-$B$11-$B$10)</f>
        <v>147328.31290576</v>
      </c>
      <c r="C16" s="32" t="n">
        <f aca="false">$B$4+(($A16*C$13*(1+Assumptions!$B$13)^2-$B$5*$B$6)*$B$7*$B$8)*(1-$B$10)+(($A16-$B$5)*$B$7*$B$9)*(1-$B$11-$B$10)</f>
        <v>164431.66402768</v>
      </c>
      <c r="D16" s="32" t="n">
        <f aca="false">$B$4+(($A16*D$13*(1+Assumptions!$B$13)^2-$B$5*$B$6)*$B$7*$B$8)*(1-$B$10)+(($A16-$B$5)*$B$7*$B$9)*(1-$B$11-$B$10)</f>
        <v>181535.0151496</v>
      </c>
      <c r="E16" s="32" t="n">
        <f aca="false">$B$4+(($A16*E$13*(1+Assumptions!$B$13)^2-$B$5*$B$6)*$B$7*$B$8)*(1-$B$10)+(($A16-$B$5)*$B$7*$B$9)*(1-$B$11-$B$10)</f>
        <v>198638.36627152</v>
      </c>
      <c r="F16" s="32" t="n">
        <f aca="false">$B$4+(($A16*F$13*(1+Assumptions!$B$13)^2-$B$5*$B$6)*$B$7*$B$8)*(1-$B$10)+(($A16-$B$5)*$B$7*$B$9)*(1-$B$11-$B$10)</f>
        <v>215741.71739344</v>
      </c>
    </row>
    <row r="17" customFormat="false" ht="15" hidden="false" customHeight="false" outlineLevel="0" collapsed="false">
      <c r="A17" s="37" t="n">
        <v>0.4</v>
      </c>
      <c r="B17" s="32" t="n">
        <f aca="false">$B$4+(($A17*B$13*(1+Assumptions!$B$13)^2-$B$5*$B$6)*$B$7*$B$8)*(1-$B$10)+(($A17-$B$5)*$B$7*$B$9)*(1-$B$11-$B$10)</f>
        <v>181805.55202768</v>
      </c>
      <c r="C17" s="32" t="n">
        <f aca="false">$B$4+(($A17*C$13*(1+Assumptions!$B$13)^2-$B$5*$B$6)*$B$7*$B$8)*(1-$B$10)+(($A17-$B$5)*$B$7*$B$9)*(1-$B$11-$B$10)</f>
        <v>201352.23902416</v>
      </c>
      <c r="D17" s="32" t="n">
        <f aca="false">$B$4+(($A17*D$13*(1+Assumptions!$B$13)^2-$B$5*$B$6)*$B$7*$B$8)*(1-$B$10)+(($A17-$B$5)*$B$7*$B$9)*(1-$B$11-$B$10)</f>
        <v>220898.92602064</v>
      </c>
      <c r="E17" s="32" t="n">
        <f aca="false">$B$4+(($A17*E$13*(1+Assumptions!$B$13)^2-$B$5*$B$6)*$B$7*$B$8)*(1-$B$10)+(($A17-$B$5)*$B$7*$B$9)*(1-$B$11-$B$10)</f>
        <v>240445.61301712</v>
      </c>
      <c r="F17" s="32" t="n">
        <f aca="false">$B$4+(($A17*F$13*(1+Assumptions!$B$13)^2-$B$5*$B$6)*$B$7*$B$8)*(1-$B$10)+(($A17-$B$5)*$B$7*$B$9)*(1-$B$11-$B$10)</f>
        <v>259992.3000136</v>
      </c>
    </row>
    <row r="18" customFormat="false" ht="15" hidden="false" customHeight="false" outlineLevel="0" collapsed="false">
      <c r="A18" s="37" t="n">
        <v>0.45</v>
      </c>
      <c r="B18" s="32" t="n">
        <f aca="false">$B$4+(($A18*B$13*(1+Assumptions!$B$13)^2-$B$5*$B$6)*$B$7*$B$8)*(1-$B$10)+(($A18-$B$5)*$B$7*$B$9)*(1-$B$11-$B$10)</f>
        <v>216282.7911496</v>
      </c>
      <c r="C18" s="32" t="n">
        <f aca="false">$B$4+(($A18*C$13*(1+Assumptions!$B$13)^2-$B$5*$B$6)*$B$7*$B$8)*(1-$B$10)+(($A18-$B$5)*$B$7*$B$9)*(1-$B$11-$B$10)</f>
        <v>238272.81402064</v>
      </c>
      <c r="D18" s="32" t="n">
        <f aca="false">$B$4+(($A18*D$13*(1+Assumptions!$B$13)^2-$B$5*$B$6)*$B$7*$B$8)*(1-$B$10)+(($A18-$B$5)*$B$7*$B$9)*(1-$B$11-$B$10)</f>
        <v>260262.83689168</v>
      </c>
      <c r="E18" s="32" t="n">
        <f aca="false">$B$4+(($A18*E$13*(1+Assumptions!$B$13)^2-$B$5*$B$6)*$B$7*$B$8)*(1-$B$10)+(($A18-$B$5)*$B$7*$B$9)*(1-$B$11-$B$10)</f>
        <v>282252.85976272</v>
      </c>
      <c r="F18" s="32" t="n">
        <f aca="false">$B$4+(($A18*F$13*(1+Assumptions!$B$13)^2-$B$5*$B$6)*$B$7*$B$8)*(1-$B$10)+(($A18-$B$5)*$B$7*$B$9)*(1-$B$11-$B$10)</f>
        <v>304242.88263376</v>
      </c>
    </row>
    <row r="19" customFormat="false" ht="15" hidden="false" customHeight="false" outlineLevel="0" collapsed="false">
      <c r="A19" s="37" t="n">
        <v>0.5</v>
      </c>
      <c r="B19" s="32" t="n">
        <f aca="false">$B$4+(($A19*B$13*(1+Assumptions!$B$13)^2-$B$5*$B$6)*$B$7*$B$8)*(1-$B$10)+(($A19-$B$5)*$B$7*$B$9)*(1-$B$11-$B$10)</f>
        <v>250760.03027152</v>
      </c>
      <c r="C19" s="32" t="n">
        <f aca="false">$B$4+(($A19*C$13*(1+Assumptions!$B$13)^2-$B$5*$B$6)*$B$7*$B$8)*(1-$B$10)+(($A19-$B$5)*$B$7*$B$9)*(1-$B$11-$B$10)</f>
        <v>275193.38901712</v>
      </c>
      <c r="D19" s="32" t="n">
        <f aca="false">$B$4+(($A19*D$13*(1+Assumptions!$B$13)^2-$B$5*$B$6)*$B$7*$B$8)*(1-$B$10)+(($A19-$B$5)*$B$7*$B$9)*(1-$B$11-$B$10)</f>
        <v>299626.74776272</v>
      </c>
      <c r="E19" s="32" t="n">
        <f aca="false">$B$4+(($A19*E$13*(1+Assumptions!$B$13)^2-$B$5*$B$6)*$B$7*$B$8)*(1-$B$10)+(($A19-$B$5)*$B$7*$B$9)*(1-$B$11-$B$10)</f>
        <v>324060.10650832</v>
      </c>
      <c r="F19" s="32" t="n">
        <f aca="false">$B$4+(($A19*F$13*(1+Assumptions!$B$13)^2-$B$5*$B$6)*$B$7*$B$8)*(1-$B$10)+(($A19-$B$5)*$B$7*$B$9)*(1-$B$11-$B$10)</f>
        <v>348493.46525392</v>
      </c>
    </row>
    <row r="21" customFormat="false" ht="15" hidden="false" customHeight="false" outlineLevel="0" collapsed="false">
      <c r="A21" s="2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2026-09-23T13:21:46Z</dcterms:created>
  <dc:creator>openpyxl</dc:creator>
  <dc:description/>
  <dc:language>en-US</dc:language>
  <cp:lastModifiedBy/>
  <dcterms:modified xsi:type="dcterms:W3CDTF">2026-09-23T13:21:46Z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